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5516" codeName="{00000000-0000-0000-0000-000000000000}"/>
  <workbookPr showInkAnnotation="0" codeName="ThisWorkbook" autoCompressPictures="0"/>
  <workbookProtection workbookPassword="EA11" lockStructure="1"/>
  <bookViews>
    <workbookView xWindow="0" yWindow="-20" windowWidth="38400" windowHeight="21060" tabRatio="500"/>
  </bookViews>
  <sheets>
    <sheet name="Necromancer" sheetId="2" r:id="rId1"/>
    <sheet name="Undead" sheetId="5" r:id="rId2"/>
    <sheet name="Traits" sheetId="4" state="hidden" r:id="rId3"/>
    <sheet name="Actions" sheetId="6" state="hidden" r:id="rId4"/>
  </sheets>
  <definedNames>
    <definedName name="Actions">Actions!$A:$G</definedName>
    <definedName name="Animate_Dead">Necromancer!$D$2</definedName>
    <definedName name="Create_Undead">Necromancer!$E$2</definedName>
    <definedName name="Level">Necromancer!$B$2</definedName>
    <definedName name="MonsterList">Undead!$B:$B</definedName>
    <definedName name="Prof">Necromancer!$C$2</definedName>
    <definedName name="Traits">Traits!$A:$F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2" i="2" l="1"/>
  <c r="A1" i="2"/>
  <c r="E9" i="6"/>
  <c r="A3" i="5"/>
  <c r="A4" i="5"/>
  <c r="D9" i="6"/>
  <c r="F9" i="6"/>
  <c r="D10" i="6"/>
  <c r="E10" i="6"/>
  <c r="F10" i="6"/>
  <c r="G9" i="6"/>
  <c r="AC5" i="5"/>
  <c r="AB5" i="5"/>
  <c r="I5" i="5"/>
  <c r="A5" i="5"/>
  <c r="D11" i="6"/>
  <c r="E11" i="6"/>
  <c r="F11" i="6"/>
  <c r="G11" i="6"/>
  <c r="AC6" i="5"/>
  <c r="E4" i="4"/>
  <c r="F4" i="4"/>
  <c r="AB6" i="5"/>
  <c r="I6" i="5"/>
  <c r="A6" i="5"/>
  <c r="A2" i="5"/>
  <c r="D4" i="6"/>
  <c r="E4" i="6"/>
  <c r="F4" i="6"/>
  <c r="D5" i="6"/>
  <c r="F5" i="6"/>
  <c r="G4" i="6"/>
  <c r="AC3" i="5"/>
  <c r="D7" i="6"/>
  <c r="E7" i="6"/>
  <c r="F7" i="6"/>
  <c r="F6" i="6"/>
  <c r="F8" i="6"/>
  <c r="G6" i="6"/>
  <c r="AC4" i="5"/>
  <c r="D2" i="6"/>
  <c r="E2" i="6"/>
  <c r="F2" i="6"/>
  <c r="D3" i="6"/>
  <c r="E3" i="6"/>
  <c r="F3" i="6"/>
  <c r="G2" i="6"/>
  <c r="AC2" i="5"/>
  <c r="G3" i="6"/>
  <c r="G5" i="6"/>
  <c r="G7" i="6"/>
  <c r="G8" i="6"/>
  <c r="G10" i="6"/>
  <c r="AB3" i="5"/>
  <c r="AB4" i="5"/>
  <c r="E2" i="4"/>
  <c r="E3" i="4"/>
  <c r="F2" i="4"/>
  <c r="AB2" i="5"/>
  <c r="E5" i="4"/>
  <c r="E6" i="4"/>
  <c r="E7" i="4"/>
  <c r="E8" i="4"/>
  <c r="E9" i="4"/>
  <c r="E10" i="4"/>
  <c r="E11" i="4"/>
  <c r="E12" i="4"/>
  <c r="E13" i="4"/>
  <c r="E14" i="4"/>
  <c r="E15" i="4"/>
  <c r="E16" i="4"/>
  <c r="E17" i="4"/>
  <c r="E18" i="4"/>
  <c r="E19" i="4"/>
  <c r="E20" i="4"/>
  <c r="F3" i="4"/>
  <c r="F5" i="4"/>
  <c r="F6" i="4"/>
  <c r="F7" i="4"/>
  <c r="F8" i="4"/>
  <c r="F9" i="4"/>
  <c r="F10" i="4"/>
  <c r="F11" i="4"/>
  <c r="F12" i="4"/>
  <c r="F13" i="4"/>
  <c r="F14" i="4"/>
  <c r="F15" i="4"/>
  <c r="F16" i="4"/>
  <c r="F17" i="4"/>
  <c r="F18" i="4"/>
  <c r="F19" i="4"/>
  <c r="F20" i="4"/>
  <c r="I3" i="5"/>
  <c r="I4" i="5"/>
  <c r="I2" i="5"/>
</calcChain>
</file>

<file path=xl/sharedStrings.xml><?xml version="1.0" encoding="utf-8"?>
<sst xmlns="http://schemas.openxmlformats.org/spreadsheetml/2006/main" count="216" uniqueCount="113">
  <si>
    <t>Level</t>
  </si>
  <si>
    <t>Proficiency</t>
  </si>
  <si>
    <t>Animate Dead</t>
  </si>
  <si>
    <t>Create Undead</t>
  </si>
  <si>
    <t>name</t>
  </si>
  <si>
    <t>size</t>
  </si>
  <si>
    <t>type</t>
  </si>
  <si>
    <t>alignment</t>
  </si>
  <si>
    <t>ac</t>
  </si>
  <si>
    <t>armor</t>
  </si>
  <si>
    <t>hp</t>
  </si>
  <si>
    <t>hd</t>
  </si>
  <si>
    <t>speed</t>
  </si>
  <si>
    <t>STR</t>
  </si>
  <si>
    <t>DEX</t>
  </si>
  <si>
    <t>CON</t>
  </si>
  <si>
    <t>INT</t>
  </si>
  <si>
    <t>WIS</t>
  </si>
  <si>
    <t>CHA</t>
  </si>
  <si>
    <t>Saves</t>
  </si>
  <si>
    <t>Skills</t>
  </si>
  <si>
    <t>resist</t>
  </si>
  <si>
    <t>vulnerable</t>
  </si>
  <si>
    <t>immune</t>
  </si>
  <si>
    <t>conditionImmune</t>
  </si>
  <si>
    <t>senses</t>
  </si>
  <si>
    <t>passive</t>
  </si>
  <si>
    <t>languages</t>
  </si>
  <si>
    <t>cr</t>
  </si>
  <si>
    <t>Traits</t>
  </si>
  <si>
    <t>Actions</t>
  </si>
  <si>
    <t>Reactions</t>
  </si>
  <si>
    <t>Legendary</t>
  </si>
  <si>
    <t>numeric CR</t>
  </si>
  <si>
    <t>player's</t>
  </si>
  <si>
    <t xml:space="preserve"> </t>
  </si>
  <si>
    <t>Ghast</t>
  </si>
  <si>
    <t>Medium</t>
  </si>
  <si>
    <t>undead</t>
  </si>
  <si>
    <t>chaotic evil</t>
  </si>
  <si>
    <t>13</t>
  </si>
  <si>
    <t>36</t>
  </si>
  <si>
    <t>8d8</t>
  </si>
  <si>
    <t>30 ft.</t>
  </si>
  <si>
    <t>16</t>
  </si>
  <si>
    <t>17</t>
  </si>
  <si>
    <t>11</t>
  </si>
  <si>
    <t>8</t>
  </si>
  <si>
    <t/>
  </si>
  <si>
    <t>necrotic</t>
  </si>
  <si>
    <t>poisoned</t>
  </si>
  <si>
    <t>darkvision 60 ft.</t>
  </si>
  <si>
    <t>Common</t>
  </si>
  <si>
    <t>2</t>
  </si>
  <si>
    <t>Y</t>
  </si>
  <si>
    <t>Ghoul</t>
  </si>
  <si>
    <t>12</t>
  </si>
  <si>
    <t>22</t>
  </si>
  <si>
    <t>5d8</t>
  </si>
  <si>
    <t>15</t>
  </si>
  <si>
    <t>7</t>
  </si>
  <si>
    <t>6</t>
  </si>
  <si>
    <t>Mummy</t>
  </si>
  <si>
    <t>lawful evil</t>
  </si>
  <si>
    <t>natural armor</t>
  </si>
  <si>
    <t>58</t>
  </si>
  <si>
    <t>9d8+18</t>
  </si>
  <si>
    <t>20 ft.</t>
  </si>
  <si>
    <t>Wis +2</t>
  </si>
  <si>
    <t>fire</t>
  </si>
  <si>
    <t>bludgeoning, piercing, and slashing from nonmagical weapons</t>
  </si>
  <si>
    <t>necrotic, poisoned</t>
  </si>
  <si>
    <t>the languages it knew in life</t>
  </si>
  <si>
    <t>3</t>
  </si>
  <si>
    <t>Skeleton</t>
  </si>
  <si>
    <t>armor scraps</t>
  </si>
  <si>
    <t>2d8+4</t>
  </si>
  <si>
    <t>14</t>
  </si>
  <si>
    <t>5</t>
  </si>
  <si>
    <t>bludgeoning</t>
  </si>
  <si>
    <t>understands all languages it spoke in life but can't speak</t>
  </si>
  <si>
    <t>1/4</t>
  </si>
  <si>
    <t>Zombie</t>
  </si>
  <si>
    <t>neutral evil</t>
  </si>
  <si>
    <t>3d8+9</t>
  </si>
  <si>
    <t>Wis +0</t>
  </si>
  <si>
    <t>XML</t>
  </si>
  <si>
    <t>Necromancer HP</t>
  </si>
  <si>
    <t>Spell</t>
  </si>
  <si>
    <t>Monster</t>
  </si>
  <si>
    <t>#</t>
  </si>
  <si>
    <t>Name</t>
  </si>
  <si>
    <t>Text</t>
  </si>
  <si>
    <t>Trait</t>
  </si>
  <si>
    <t>Stench</t>
  </si>
  <si>
    <t>Any creature that starts its turn within 5 ft. of the ghast must succeed on a DC 10 Constitution saving throw or be poisoned until the start of its next turn. On a successful saving throw, the creature is immune to the ghast's Stench for 24 hours.</t>
  </si>
  <si>
    <t>Turn Defiance</t>
  </si>
  <si>
    <t>The ghast and any ghouls within 30 ft. of it have advantage on saving throws against effects that turn undead.</t>
  </si>
  <si>
    <t>Undead Fortitude</t>
  </si>
  <si>
    <t>If damage reduces the zombie to 0 hit points, it must make a Constitution saving throw with a DC of 5+the damage taken, unless the damage is radiant or from a critical hit. On a success, the zombie drops to 1 hit point instead.</t>
  </si>
  <si>
    <t>Action</t>
  </si>
  <si>
    <t>Attack 1</t>
  </si>
  <si>
    <t>Bite</t>
  </si>
  <si>
    <t>Claws</t>
  </si>
  <si>
    <t>Multiattack</t>
  </si>
  <si>
    <t>The mummy can use its Dreadful Glare and makes one attack with its rotting fist.</t>
  </si>
  <si>
    <t>Rotting Fist</t>
  </si>
  <si>
    <t>Dreadful Glare</t>
  </si>
  <si>
    <t>The mummy targets one creature it can see within 60 ft. of it. If the target can see the mummy, it must succeed on a DC 11 Wisdom saving throw against this magic or become frightened until the end of the mummy's next turn. If the target fails the saving throw by 5 or more, it is also paralyzed for the same duration. A target that succeeds on the saving throw is immune to the Dreadful Glare of all mummies (but not mummy lords) for the next 24 hours.</t>
  </si>
  <si>
    <t>Shortsword</t>
  </si>
  <si>
    <t>Shortbow</t>
  </si>
  <si>
    <t>Slam</t>
  </si>
  <si>
    <t>Instructions:
Enter your necromancer's level and proficiency bonus.  Choose which spells you wish to create customized undead for based on your spell book.  Click the "Create File" button and your customized bestiary will be created.</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</si>
</sst>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6"/>
      <color theme="1"/>
      <name val="Times New Roman"/>
      <family val="2"/>
    </font>
    <font>
      <sz val="16"/>
      <color theme="1"/>
      <name val="Times New Roman"/>
      <family val="2"/>
    </font>
    <font>
      <b/>
      <sz val="16"/>
      <color theme="0"/>
      <name val="Times New Roman"/>
      <family val="2"/>
    </font>
    <font>
      <sz val="16"/>
      <color theme="0"/>
      <name val="Times New Roman"/>
      <family val="2"/>
    </font>
    <font>
      <b/>
      <sz val="11"/>
      <color theme="0"/>
      <name val="Times New Roman"/>
    </font>
    <font>
      <sz val="16"/>
      <color rgb="FF000000"/>
      <name val="Times New Roman"/>
    </font>
    <font>
      <sz val="11"/>
      <color rgb="FF000000"/>
      <name val="Times New Roman"/>
    </font>
    <font>
      <u/>
      <sz val="16"/>
      <color theme="10"/>
      <name val="Times New Roman"/>
      <family val="2"/>
    </font>
    <font>
      <u/>
      <sz val="16"/>
      <color theme="11"/>
      <name val="Times New Roman"/>
      <family val="2"/>
    </font>
    <font>
      <b/>
      <sz val="16"/>
      <color theme="0"/>
      <name val="Calibri"/>
    </font>
    <font>
      <sz val="16"/>
      <color rgb="FF000000"/>
      <name val="Calibri"/>
    </font>
    <font>
      <sz val="12"/>
      <color indexed="72"/>
      <name val="Lucida Grande"/>
    </font>
  </fonts>
  <fills count="4">
    <fill>
      <patternFill patternType="none"/>
    </fill>
    <fill>
      <patternFill patternType="gray125"/>
    </fill>
    <fill>
      <patternFill patternType="solid">
        <fgColor theme="3" tint="0.39997558519241921"/>
        <bgColor indexed="64"/>
      </patternFill>
    </fill>
    <fill>
      <patternFill patternType="solid">
        <fgColor theme="3" tint="0.79998168889431442"/>
        <bgColor indexed="64"/>
      </patternFill>
    </fill>
  </fills>
  <borders count="16">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theme="4"/>
      </left>
      <right/>
      <top style="thin">
        <color theme="4"/>
      </top>
      <bottom/>
      <diagonal/>
    </border>
    <border>
      <left/>
      <right/>
      <top style="thin">
        <color theme="4"/>
      </top>
      <bottom/>
      <diagonal/>
    </border>
  </borders>
  <cellStyleXfs count="1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37">
    <xf numFmtId="0" fontId="0" fillId="0" borderId="0" xfId="0"/>
    <xf numFmtId="0" fontId="3" fillId="2" borderId="9" xfId="0" applyFont="1" applyFill="1" applyBorder="1"/>
    <xf numFmtId="0" fontId="3" fillId="2" borderId="10" xfId="0" applyFont="1" applyFill="1" applyBorder="1"/>
    <xf numFmtId="0" fontId="3" fillId="2" borderId="11" xfId="0" applyFont="1" applyFill="1" applyBorder="1"/>
    <xf numFmtId="0" fontId="3" fillId="0" borderId="13" xfId="0" applyFont="1" applyBorder="1" applyProtection="1">
      <protection locked="0"/>
    </xf>
    <xf numFmtId="0" fontId="3" fillId="0" borderId="8" xfId="0" applyFont="1" applyBorder="1" applyProtection="1">
      <protection locked="0"/>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2" fillId="2" borderId="0" xfId="0" applyFont="1" applyFill="1" applyAlignment="1" applyProtection="1">
      <alignment horizontal="left"/>
    </xf>
    <xf numFmtId="49" fontId="2" fillId="2" borderId="0" xfId="0" applyNumberFormat="1" applyFont="1" applyFill="1" applyAlignment="1" applyProtection="1">
      <alignment horizontal="left"/>
    </xf>
    <xf numFmtId="0" fontId="5" fillId="0" borderId="0" xfId="0" applyFont="1" applyFill="1" applyAlignment="1" applyProtection="1">
      <alignment horizontal="left"/>
    </xf>
    <xf numFmtId="49" fontId="5" fillId="0" borderId="0" xfId="0" applyNumberFormat="1" applyFont="1" applyFill="1" applyAlignment="1" applyProtection="1">
      <alignment horizontal="left"/>
    </xf>
    <xf numFmtId="0" fontId="2" fillId="2" borderId="0" xfId="0" applyFont="1" applyFill="1" applyBorder="1" applyAlignment="1">
      <alignment horizontal="left"/>
    </xf>
    <xf numFmtId="0" fontId="6" fillId="0" borderId="0" xfId="0" applyFont="1" applyFill="1" applyProtection="1"/>
    <xf numFmtId="0" fontId="2" fillId="2" borderId="0" xfId="0" applyFont="1" applyFill="1" applyAlignment="1" applyProtection="1"/>
    <xf numFmtId="0" fontId="0" fillId="0" borderId="0" xfId="0" applyFont="1" applyFill="1" applyProtection="1"/>
    <xf numFmtId="0" fontId="4" fillId="2" borderId="0" xfId="0" applyFont="1" applyFill="1" applyProtection="1"/>
    <xf numFmtId="0" fontId="1" fillId="0" borderId="14" xfId="0" applyFont="1" applyBorder="1" applyAlignment="1">
      <alignment horizontal="left"/>
    </xf>
    <xf numFmtId="0" fontId="1" fillId="0" borderId="15" xfId="0" applyFont="1" applyBorder="1" applyAlignment="1">
      <alignment horizontal="left"/>
    </xf>
    <xf numFmtId="0" fontId="1" fillId="0" borderId="15" xfId="0" applyFont="1" applyBorder="1" applyAlignment="1"/>
    <xf numFmtId="0" fontId="1" fillId="0" borderId="0" xfId="0" applyFont="1" applyBorder="1" applyAlignment="1"/>
    <xf numFmtId="0" fontId="5" fillId="0" borderId="0" xfId="0" applyFont="1" applyFill="1" applyAlignment="1" applyProtection="1"/>
    <xf numFmtId="0" fontId="1" fillId="0" borderId="0" xfId="0" applyFont="1" applyBorder="1" applyAlignment="1">
      <alignment horizontal="left"/>
    </xf>
    <xf numFmtId="0" fontId="9" fillId="2" borderId="0" xfId="0" applyFont="1" applyFill="1" applyAlignment="1" applyProtection="1"/>
    <xf numFmtId="0" fontId="2" fillId="0" borderId="0" xfId="0" applyFont="1" applyFill="1" applyAlignment="1" applyProtection="1"/>
    <xf numFmtId="0" fontId="10" fillId="0" borderId="0" xfId="0" applyFont="1" applyFill="1" applyAlignment="1" applyProtection="1"/>
    <xf numFmtId="0" fontId="0" fillId="0" borderId="15" xfId="0" applyFont="1" applyBorder="1" applyAlignment="1">
      <alignment horizontal="left"/>
    </xf>
    <xf numFmtId="0" fontId="3" fillId="0" borderId="0" xfId="0" applyFont="1" applyProtection="1">
      <protection hidden="1"/>
    </xf>
    <xf numFmtId="0" fontId="0" fillId="3" borderId="1" xfId="0" applyFont="1" applyFill="1" applyBorder="1" applyAlignment="1">
      <alignment horizontal="left" vertical="top" wrapText="1"/>
    </xf>
    <xf numFmtId="0" fontId="0" fillId="3" borderId="2" xfId="0" applyFont="1" applyFill="1" applyBorder="1" applyAlignment="1">
      <alignment horizontal="left" vertical="top"/>
    </xf>
    <xf numFmtId="0" fontId="0" fillId="3" borderId="3" xfId="0" applyFont="1" applyFill="1" applyBorder="1" applyAlignment="1">
      <alignment horizontal="left" vertical="top"/>
    </xf>
    <xf numFmtId="0" fontId="0" fillId="3" borderId="4" xfId="0" applyFont="1" applyFill="1" applyBorder="1" applyAlignment="1">
      <alignment horizontal="left" vertical="top"/>
    </xf>
    <xf numFmtId="0" fontId="0" fillId="3" borderId="0" xfId="0" applyFont="1" applyFill="1" applyBorder="1" applyAlignment="1">
      <alignment horizontal="left" vertical="top"/>
    </xf>
    <xf numFmtId="0" fontId="0" fillId="3" borderId="5" xfId="0" applyFont="1" applyFill="1" applyBorder="1" applyAlignment="1">
      <alignment horizontal="left" vertical="top"/>
    </xf>
    <xf numFmtId="0" fontId="0" fillId="3" borderId="6" xfId="0" applyFont="1" applyFill="1" applyBorder="1" applyAlignment="1">
      <alignment horizontal="left" vertical="top"/>
    </xf>
    <xf numFmtId="0" fontId="0" fillId="3" borderId="7" xfId="0" applyFont="1" applyFill="1" applyBorder="1" applyAlignment="1">
      <alignment horizontal="left" vertical="top"/>
    </xf>
    <xf numFmtId="0" fontId="0" fillId="3" borderId="8" xfId="0" applyFont="1" applyFill="1" applyBorder="1" applyAlignment="1">
      <alignment horizontal="left" vertical="top"/>
    </xf>
  </cellXfs>
  <cellStyles count="1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CheckBox" fmlaLink="D2" lockText="1" noThreeD="1"/>
</file>

<file path=xl/ctrlProps/ctrlProp2.xml><?xml version="1.0" encoding="utf-8"?>
<formControlPr xmlns="http://schemas.microsoft.com/office/spreadsheetml/2009/9/main" objectType="CheckBox" fmlaLink="E2" lockText="1" noThreeD="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520700</xdr:colOff>
          <xdr:row>0</xdr:row>
          <xdr:rowOff>215900</xdr:rowOff>
        </xdr:from>
        <xdr:to>
          <xdr:col>3</xdr:col>
          <xdr:colOff>1206500</xdr:colOff>
          <xdr:row>2</xdr:row>
          <xdr:rowOff>0</xdr:rowOff>
        </xdr:to>
        <xdr:sp macro="" textlink="">
          <xdr:nvSpPr>
            <xdr:cNvPr id="2049" name="Check Box 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584200</xdr:colOff>
          <xdr:row>0</xdr:row>
          <xdr:rowOff>203200</xdr:rowOff>
        </xdr:from>
        <xdr:to>
          <xdr:col>4</xdr:col>
          <xdr:colOff>1168400</xdr:colOff>
          <xdr:row>2</xdr:row>
          <xdr:rowOff>12700</xdr:rowOff>
        </xdr:to>
        <xdr:sp macro="" textlink="">
          <xdr:nvSpPr>
            <xdr:cNvPr id="2050" name="Check Box 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647700</xdr:colOff>
          <xdr:row>7</xdr:row>
          <xdr:rowOff>127000</xdr:rowOff>
        </xdr:from>
        <xdr:to>
          <xdr:col>4</xdr:col>
          <xdr:colOff>1219200</xdr:colOff>
          <xdr:row>8</xdr:row>
          <xdr:rowOff>152400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Create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F10"/>
  <sheetViews>
    <sheetView tabSelected="1" workbookViewId="0">
      <selection activeCell="E2" sqref="E2"/>
    </sheetView>
  </sheetViews>
  <sheetFormatPr baseColWidth="10" defaultColWidth="0" defaultRowHeight="18" zeroHeight="1" x14ac:dyDescent="0"/>
  <cols>
    <col min="1" max="1" width="2.33203125" customWidth="1"/>
    <col min="2" max="3" width="10.77734375" customWidth="1"/>
    <col min="4" max="4" width="11.44140625" bestFit="1" customWidth="1"/>
    <col min="5" max="5" width="11.6640625" bestFit="1" customWidth="1"/>
    <col min="6" max="6" width="2.33203125" customWidth="1"/>
    <col min="7" max="16384" width="10.77734375" hidden="1"/>
  </cols>
  <sheetData>
    <row r="1" spans="1:5" ht="19" thickBot="1">
      <c r="A1" s="27" t="str">
        <f>"&lt;?xml version=""1.0"" encoding=""UTF-8""?&gt;"&amp;CHAR(13)&amp;"&lt;compendium version=""5"" auto_indent=""YES""&gt;"</f>
        <v>&lt;?xml version="1.0" encoding="UTF-8"?&gt;_x000D_&lt;compendium version="5" auto_indent="YES"&gt;</v>
      </c>
      <c r="B1" s="1" t="s">
        <v>0</v>
      </c>
      <c r="C1" s="2" t="s">
        <v>1</v>
      </c>
      <c r="D1" s="2" t="s">
        <v>2</v>
      </c>
      <c r="E1" s="3" t="s">
        <v>3</v>
      </c>
    </row>
    <row r="2" spans="1:5" ht="19" thickBot="1">
      <c r="A2" s="27" t="str">
        <f>"&lt;/compendium&gt;"</f>
        <v>&lt;/compendium&gt;</v>
      </c>
      <c r="B2" s="6"/>
      <c r="C2" s="7"/>
      <c r="D2" s="4"/>
      <c r="E2" s="5"/>
    </row>
    <row r="3" spans="1:5">
      <c r="B3" s="28" t="s">
        <v>112</v>
      </c>
      <c r="C3" s="29"/>
      <c r="D3" s="29"/>
      <c r="E3" s="30"/>
    </row>
    <row r="4" spans="1:5">
      <c r="B4" s="31"/>
      <c r="C4" s="32"/>
      <c r="D4" s="32"/>
      <c r="E4" s="33"/>
    </row>
    <row r="5" spans="1:5">
      <c r="B5" s="31"/>
      <c r="C5" s="32"/>
      <c r="D5" s="32"/>
      <c r="E5" s="33"/>
    </row>
    <row r="6" spans="1:5">
      <c r="B6" s="31"/>
      <c r="C6" s="32"/>
      <c r="D6" s="32"/>
      <c r="E6" s="33"/>
    </row>
    <row r="7" spans="1:5">
      <c r="B7" s="31"/>
      <c r="C7" s="32"/>
      <c r="D7" s="32"/>
      <c r="E7" s="33"/>
    </row>
    <row r="8" spans="1:5">
      <c r="B8" s="31"/>
      <c r="C8" s="32"/>
      <c r="D8" s="32"/>
      <c r="E8" s="33"/>
    </row>
    <row r="9" spans="1:5" ht="19" thickBot="1">
      <c r="B9" s="34"/>
      <c r="C9" s="35"/>
      <c r="D9" s="35"/>
      <c r="E9" s="36"/>
    </row>
    <row r="10" spans="1:5"/>
  </sheetData>
  <sheetProtection password="EA11" sheet="1" objects="1" scenarios="1" selectLockedCells="1"/>
  <mergeCells count="1">
    <mergeCell ref="B3:E9"/>
  </mergeCell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Check Box 1">
              <controlPr defaultSize="0" autoFill="0" autoLine="0" autoPict="0">
                <anchor moveWithCells="1">
                  <from>
                    <xdr:col>3</xdr:col>
                    <xdr:colOff>520700</xdr:colOff>
                    <xdr:row>0</xdr:row>
                    <xdr:rowOff>215900</xdr:rowOff>
                  </from>
                  <to>
                    <xdr:col>3</xdr:col>
                    <xdr:colOff>1206500</xdr:colOff>
                    <xdr:row>2</xdr:row>
                    <xdr:rowOff>0</xdr:rowOff>
                  </to>
                </anchor>
              </controlPr>
            </control>
          </mc:Choice>
          <mc:Fallback/>
        </mc:AlternateContent>
        <mc:AlternateContent xmlns:mc="http://schemas.openxmlformats.org/markup-compatibility/2006">
          <mc:Choice Requires="x14">
            <control shapeId="2050" r:id="rId4" name="Check Box 2">
              <controlPr defaultSize="0" autoFill="0" autoLine="0" autoPict="0">
                <anchor moveWithCells="1">
                  <from>
                    <xdr:col>4</xdr:col>
                    <xdr:colOff>584200</xdr:colOff>
                    <xdr:row>0</xdr:row>
                    <xdr:rowOff>203200</xdr:rowOff>
                  </from>
                  <to>
                    <xdr:col>4</xdr:col>
                    <xdr:colOff>1168400</xdr:colOff>
                    <xdr:row>2</xdr:row>
                    <xdr:rowOff>12700</xdr:rowOff>
                  </to>
                </anchor>
              </controlPr>
            </control>
          </mc:Choice>
          <mc:Fallback/>
        </mc:AlternateContent>
        <mc:AlternateContent xmlns:mc="http://schemas.openxmlformats.org/markup-compatibility/2006">
          <mc:Choice Requires="x14">
            <control shapeId="2052" r:id="rId5" name="Button 4">
              <controlPr defaultSize="0" print="0" autoFill="0" autoPict="0" macro="[0]!ExportToXML">
                <anchor moveWithCells="1" sizeWithCells="1">
                  <from>
                    <xdr:col>3</xdr:col>
                    <xdr:colOff>647700</xdr:colOff>
                    <xdr:row>7</xdr:row>
                    <xdr:rowOff>127000</xdr:rowOff>
                  </from>
                  <to>
                    <xdr:col>4</xdr:col>
                    <xdr:colOff>1219200</xdr:colOff>
                    <xdr:row>8</xdr:row>
                    <xdr:rowOff>152400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I500"/>
  <sheetViews>
    <sheetView topLeftCell="B1" workbookViewId="0">
      <selection activeCell="B1" sqref="A1:XFD1048576"/>
    </sheetView>
  </sheetViews>
  <sheetFormatPr baseColWidth="10" defaultColWidth="0" defaultRowHeight="18" zeroHeight="1" x14ac:dyDescent="0"/>
  <cols>
    <col min="1" max="1" width="10.77734375" hidden="1" customWidth="1"/>
    <col min="2" max="2" width="7.33203125" bestFit="1" customWidth="1"/>
    <col min="3" max="3" width="7.109375" bestFit="1" customWidth="1"/>
    <col min="4" max="4" width="6.21875" bestFit="1" customWidth="1"/>
    <col min="5" max="5" width="9.33203125" bestFit="1" customWidth="1"/>
    <col min="6" max="6" width="2.88671875" bestFit="1" customWidth="1"/>
    <col min="7" max="7" width="10.77734375" customWidth="1"/>
    <col min="8" max="8" width="3" bestFit="1" customWidth="1"/>
    <col min="9" max="9" width="14.21875" bestFit="1" customWidth="1"/>
    <col min="10" max="10" width="6.5546875" bestFit="1" customWidth="1"/>
    <col min="11" max="11" width="5.33203125" bestFit="1" customWidth="1"/>
    <col min="12" max="12" width="4.5546875" bestFit="1" customWidth="1"/>
    <col min="13" max="13" width="4.77734375" bestFit="1" customWidth="1"/>
    <col min="14" max="14" width="5" bestFit="1" customWidth="1"/>
    <col min="15" max="15" width="4.21875" bestFit="1" customWidth="1"/>
    <col min="16" max="16" width="4.5546875" bestFit="1" customWidth="1"/>
    <col min="17" max="17" width="5" bestFit="1" customWidth="1"/>
    <col min="18" max="18" width="6.21875" bestFit="1" customWidth="1"/>
    <col min="19" max="19" width="5.21875" bestFit="1" customWidth="1"/>
    <col min="20" max="20" width="10.77734375" customWidth="1"/>
    <col min="21" max="21" width="10" bestFit="1" customWidth="1"/>
    <col min="22" max="22" width="45.88671875" bestFit="1" customWidth="1"/>
    <col min="23" max="23" width="14.6640625" bestFit="1" customWidth="1"/>
    <col min="24" max="24" width="12.77734375" bestFit="1" customWidth="1"/>
    <col min="25" max="25" width="6.5546875" bestFit="1" customWidth="1"/>
    <col min="26" max="26" width="41.109375" bestFit="1" customWidth="1"/>
    <col min="27" max="27" width="3.33203125" bestFit="1" customWidth="1"/>
    <col min="28" max="28" width="5.77734375" customWidth="1"/>
    <col min="29" max="29" width="8.33203125" customWidth="1"/>
    <col min="30" max="33" width="0" hidden="1" customWidth="1"/>
    <col min="34" max="34" width="11.6640625" bestFit="1" customWidth="1"/>
    <col min="35" max="35" width="10.77734375" customWidth="1"/>
    <col min="36" max="16384" width="10.77734375" hidden="1"/>
  </cols>
  <sheetData>
    <row r="1" spans="1:34">
      <c r="A1" s="12" t="s">
        <v>86</v>
      </c>
      <c r="B1" s="8" t="s">
        <v>4</v>
      </c>
      <c r="C1" s="8" t="s">
        <v>5</v>
      </c>
      <c r="D1" s="8" t="s">
        <v>6</v>
      </c>
      <c r="E1" s="8" t="s">
        <v>7</v>
      </c>
      <c r="F1" s="8" t="s">
        <v>8</v>
      </c>
      <c r="G1" s="8" t="s">
        <v>9</v>
      </c>
      <c r="H1" s="8" t="s">
        <v>10</v>
      </c>
      <c r="I1" s="8" t="s">
        <v>87</v>
      </c>
      <c r="J1" s="8" t="s">
        <v>11</v>
      </c>
      <c r="K1" s="8" t="s">
        <v>12</v>
      </c>
      <c r="L1" s="8" t="s">
        <v>13</v>
      </c>
      <c r="M1" s="8" t="s">
        <v>14</v>
      </c>
      <c r="N1" s="8" t="s">
        <v>15</v>
      </c>
      <c r="O1" s="8" t="s">
        <v>16</v>
      </c>
      <c r="P1" s="8" t="s">
        <v>17</v>
      </c>
      <c r="Q1" s="8" t="s">
        <v>18</v>
      </c>
      <c r="R1" s="8" t="s">
        <v>19</v>
      </c>
      <c r="S1" s="8" t="s">
        <v>20</v>
      </c>
      <c r="T1" s="8" t="s">
        <v>21</v>
      </c>
      <c r="U1" s="8" t="s">
        <v>22</v>
      </c>
      <c r="V1" s="8" t="s">
        <v>23</v>
      </c>
      <c r="W1" s="8" t="s">
        <v>24</v>
      </c>
      <c r="X1" s="8" t="s">
        <v>25</v>
      </c>
      <c r="Y1" s="8" t="s">
        <v>26</v>
      </c>
      <c r="Z1" s="8" t="s">
        <v>27</v>
      </c>
      <c r="AA1" s="9" t="s">
        <v>28</v>
      </c>
      <c r="AB1" s="8" t="s">
        <v>29</v>
      </c>
      <c r="AC1" s="8" t="s">
        <v>30</v>
      </c>
      <c r="AD1" s="8" t="s">
        <v>31</v>
      </c>
      <c r="AE1" s="8" t="s">
        <v>32</v>
      </c>
      <c r="AF1" s="8" t="s">
        <v>33</v>
      </c>
      <c r="AG1" s="8" t="s">
        <v>34</v>
      </c>
      <c r="AH1" s="14" t="s">
        <v>88</v>
      </c>
    </row>
    <row r="2" spans="1:34">
      <c r="A2" s="10" t="str">
        <f>IF(OR(AND(AH2="Create Undead", Create_Undead=FALSE),AND(AH2="Animate Dead",Animate_Dead=FALSE)),"",IF(ISBLANK(B2),"",CHAR(9)&amp;"&lt;monster&gt;"&amp;CHAR(13)&amp;CHAR(9)&amp;CHAR(9)&amp;"&lt;name&gt;"&amp;B2&amp;IF(AH2="Animate Dead"," (Animated)"," (Created)")&amp;"&lt;/name&gt;"&amp;CHAR(13)&amp;CHAR(9)&amp;CHAR(9)&amp;"&lt;size&gt;"&amp;LEFT(C2,1)&amp;"&lt;/size&gt;"&amp;CHAR(13)&amp;CHAR(9)&amp;CHAR(9)&amp;"&lt;type&gt;"&amp;D2&amp;"&lt;/type&gt;"&amp;CHAR(13)&amp;CHAR(9)&amp;CHAR(9)&amp;"&lt;alignment&gt;"&amp;E2&amp;"&lt;/alignment&gt;"&amp;CHAR(13)&amp;CHAR(9)&amp;CHAR(9)&amp;"&lt;ac&gt;"&amp;F2&amp;IF(ISBLANK(G2),""," ("&amp;G2&amp;")")&amp;"&lt;/ac&gt;"&amp;CHAR(13)&amp;CHAR(9)&amp;CHAR(9)&amp;"&lt;hp&gt;"&amp;I2&amp;IF(ISBLANK(J2),""," ("&amp;J2&amp;IF(Level&gt;5,"+"&amp;Level,"")&amp;")")&amp;"&lt;/hp&gt;"&amp;CHAR(13)&amp;CHAR(9)&amp;CHAR(9)&amp;"&lt;speed&gt;"&amp;K2&amp;"&lt;/speed&gt;"&amp;CHAR(13)&amp;CHAR(9)&amp;CHAR(9)&amp;"&lt;str&gt;"&amp;L2&amp;"&lt;/str&gt;&lt;dex&gt;"&amp;M2&amp;"&lt;/dex&gt;&lt;con&gt;"&amp;N2&amp;"&lt;/con&gt;&lt;int&gt;"&amp;O2&amp;"&lt;/int&gt;&lt;wis&gt;"&amp;P2&amp;"&lt;/wis&gt;&lt;cha&gt;"&amp;Q2&amp;"&lt;/cha&gt;"&amp;CHAR(13)&amp;CHAR(9)&amp;CHAR(9)&amp;"&lt;save&gt;"&amp;R2&amp;"&lt;/save&gt;"&amp;CHAR(13)&amp;CHAR(9)&amp;CHAR(9)&amp;"&lt;skill&gt;"&amp;S2&amp;"&lt;/skill&gt;"&amp;CHAR(13)&amp;CHAR(9)&amp;CHAR(9)&amp;"&lt;resist&gt;"&amp;T2&amp;"&lt;/resist&gt;"&amp;CHAR(13)&amp;CHAR(9)&amp;CHAR(9)&amp;"&lt;vulnerable&gt;"&amp;U2&amp;"&lt;/vulnerable&gt;"&amp;CHAR(13)&amp;CHAR(9)&amp;CHAR(9)&amp;"&lt;immune&gt;"&amp;V2&amp;"&lt;/immune&gt;"&amp;CHAR(13)&amp;CHAR(9)&amp;CHAR(9)&amp;"&lt;conditionImmune&gt;"&amp;W2&amp;"&lt;/conditionImmune&gt;"&amp;CHAR(13)&amp;CHAR(9)&amp;CHAR(9)&amp;"&lt;senses&gt;"&amp;X2&amp;"&lt;/senses&gt;"&amp;CHAR(13)&amp;CHAR(9)&amp;CHAR(9)&amp;"&lt;passive&gt;"&amp;Y2&amp;"&lt;/passive&gt;"&amp;CHAR(13)&amp;CHAR(9)&amp;CHAR(9)&amp;"&lt;languages&gt;"&amp;Z2&amp;"&lt;/languages&gt;"&amp;CHAR(13)&amp;CHAR(9)&amp;CHAR(9)&amp;"&lt;cr&gt;"&amp;AA2&amp;"&lt;/cr&gt;"&amp;IF(AB2="","",CHAR(13)&amp;AB2)&amp;IF(AC2="","",CHAR(13)&amp;AC2)&amp;IF(AD2="","",CHAR(13)&amp;AD2)&amp;IF(AE2="","",CHAR(13)&amp;AE2)&amp;CHAR(13)&amp;CHAR(9)&amp;"&lt;/monster&gt;"))</f>
        <v/>
      </c>
      <c r="B2" s="10" t="s">
        <v>36</v>
      </c>
      <c r="C2" s="10" t="s">
        <v>37</v>
      </c>
      <c r="D2" s="10" t="s">
        <v>38</v>
      </c>
      <c r="E2" s="10" t="s">
        <v>39</v>
      </c>
      <c r="F2" s="10" t="s">
        <v>40</v>
      </c>
      <c r="G2" s="10"/>
      <c r="H2" s="10" t="s">
        <v>41</v>
      </c>
      <c r="I2" s="10" t="str">
        <f>IF(Level&gt;5,H2+Level,H2)</f>
        <v>36</v>
      </c>
      <c r="J2" s="10" t="s">
        <v>42</v>
      </c>
      <c r="K2" s="10" t="s">
        <v>43</v>
      </c>
      <c r="L2" s="10" t="s">
        <v>44</v>
      </c>
      <c r="M2" s="10" t="s">
        <v>45</v>
      </c>
      <c r="N2" s="10">
        <v>10</v>
      </c>
      <c r="O2" s="10" t="s">
        <v>46</v>
      </c>
      <c r="P2" s="10">
        <v>10</v>
      </c>
      <c r="Q2" s="10" t="s">
        <v>47</v>
      </c>
      <c r="R2" s="10" t="s">
        <v>48</v>
      </c>
      <c r="S2" s="10" t="s">
        <v>48</v>
      </c>
      <c r="T2" s="10"/>
      <c r="U2" s="10"/>
      <c r="V2" s="10" t="s">
        <v>49</v>
      </c>
      <c r="W2" s="10" t="s">
        <v>50</v>
      </c>
      <c r="X2" s="10" t="s">
        <v>51</v>
      </c>
      <c r="Y2" s="10">
        <v>10</v>
      </c>
      <c r="Z2" s="10" t="s">
        <v>52</v>
      </c>
      <c r="AA2" s="11" t="s">
        <v>53</v>
      </c>
      <c r="AB2" s="10" t="str">
        <f>IF(ISERROR(VLOOKUP(B2,Traits,6,FALSE)),"",VLOOKUP(B2,Traits,6,FALSE))</f>
        <v xml:space="preserve">		&lt;trait&gt;_x000D_			&lt;name&gt;Stench&lt;/name&gt;_x000D_			&lt;text&gt;Any creature that starts its turn within 5 ft. of the ghast must succeed on a DC 10 Constitution saving throw or be poisoned until the start of its next turn. On a successful saving throw, the creature is immune to the ghast's Stench for 24 hours.&lt;/text&gt;_x000D_		&lt;/trait&gt;_x000D_		&lt;trait&gt;_x000D_			&lt;name&gt;Turn Defiance&lt;/name&gt;_x000D_			&lt;text&gt;The ghast and any ghouls within 30 ft. of it have advantage on saving throws against effects that turn undead.&lt;/text&gt;_x000D_		&lt;/trait&gt;</v>
      </c>
      <c r="AC2" s="10" t="str">
        <f>IF(ISERROR(VLOOKUP(B2,Actions,7,FALSE)),"",VLOOKUP(B2,Actions,7,FALSE))</f>
        <v xml:space="preserve">		&lt;action&gt;_x000D_			&lt;name&gt;Bite&lt;/name&gt;_x000D_			&lt;text&gt;Melee Weapon Attack: +3 to hit, reach 5 ft., one creature. Hit: 12 (2d8+3) piercing damage.&lt;/text&gt;_x000D_			&lt;attack&gt;Bite|3|2d8+3&lt;/attack&gt;_x000D_		&lt;/action&gt;_x000D_		&lt;action&gt;_x000D_			&lt;name&gt;Claws&lt;/name&gt;_x000D_			&lt;text&gt;Melee Weapon Attack: +5 to hit, reach 5 ft., one target. Hit: 10 (2d6+3) slashing damage. If the target is a creature other than an undead, it must succeed on a DC 10 Constitution saving throw or be paralyzed for 1 minute. The target can repeat the saving throw at the end of each of its turns, ending the effect on itself on a success.&lt;/text&gt;_x000D_			&lt;attack&gt;Claws|5|2d6+3&lt;/attack&gt;_x000D_		&lt;/action&gt;</v>
      </c>
      <c r="AD2" s="10" t="s">
        <v>48</v>
      </c>
      <c r="AE2" s="10" t="s">
        <v>48</v>
      </c>
      <c r="AF2" s="10">
        <v>2</v>
      </c>
      <c r="AG2" s="10" t="s">
        <v>54</v>
      </c>
      <c r="AH2" s="15" t="s">
        <v>3</v>
      </c>
    </row>
    <row r="3" spans="1:34">
      <c r="A3" s="10" t="str">
        <f>IF(OR(AND(AH3="Create Undead", Create_Undead=FALSE),AND(AH3="Animate Dead",Animate_Dead=FALSE)),"",IF(ISBLANK(B3),"",CHAR(9)&amp;"&lt;monster&gt;"&amp;CHAR(13)&amp;CHAR(9)&amp;CHAR(9)&amp;"&lt;name&gt;"&amp;B3&amp;IF(AH3="Animate Dead"," (Animated)"," (Created)")&amp;"&lt;/name&gt;"&amp;CHAR(13)&amp;CHAR(9)&amp;CHAR(9)&amp;"&lt;size&gt;"&amp;LEFT(C3,1)&amp;"&lt;/size&gt;"&amp;CHAR(13)&amp;CHAR(9)&amp;CHAR(9)&amp;"&lt;type&gt;"&amp;D3&amp;"&lt;/type&gt;"&amp;CHAR(13)&amp;CHAR(9)&amp;CHAR(9)&amp;"&lt;alignment&gt;"&amp;E3&amp;"&lt;/alignment&gt;"&amp;CHAR(13)&amp;CHAR(9)&amp;CHAR(9)&amp;"&lt;ac&gt;"&amp;F3&amp;IF(ISBLANK(G3),""," ("&amp;G3&amp;")")&amp;"&lt;/ac&gt;"&amp;CHAR(13)&amp;CHAR(9)&amp;CHAR(9)&amp;"&lt;hp&gt;"&amp;I3&amp;IF(ISBLANK(J3),""," ("&amp;J3&amp;IF(Level&gt;5,"+"&amp;Level,"")&amp;")")&amp;"&lt;/hp&gt;"&amp;CHAR(13)&amp;CHAR(9)&amp;CHAR(9)&amp;"&lt;speed&gt;"&amp;K3&amp;"&lt;/speed&gt;"&amp;CHAR(13)&amp;CHAR(9)&amp;CHAR(9)&amp;"&lt;str&gt;"&amp;L3&amp;"&lt;/str&gt;&lt;dex&gt;"&amp;M3&amp;"&lt;/dex&gt;&lt;con&gt;"&amp;N3&amp;"&lt;/con&gt;&lt;int&gt;"&amp;O3&amp;"&lt;/int&gt;&lt;wis&gt;"&amp;P3&amp;"&lt;/wis&gt;&lt;cha&gt;"&amp;Q3&amp;"&lt;/cha&gt;"&amp;CHAR(13)&amp;CHAR(9)&amp;CHAR(9)&amp;"&lt;save&gt;"&amp;R3&amp;"&lt;/save&gt;"&amp;CHAR(13)&amp;CHAR(9)&amp;CHAR(9)&amp;"&lt;skill&gt;"&amp;S3&amp;"&lt;/skill&gt;"&amp;CHAR(13)&amp;CHAR(9)&amp;CHAR(9)&amp;"&lt;resist&gt;"&amp;T3&amp;"&lt;/resist&gt;"&amp;CHAR(13)&amp;CHAR(9)&amp;CHAR(9)&amp;"&lt;vulnerable&gt;"&amp;U3&amp;"&lt;/vulnerable&gt;"&amp;CHAR(13)&amp;CHAR(9)&amp;CHAR(9)&amp;"&lt;immune&gt;"&amp;V3&amp;"&lt;/immune&gt;"&amp;CHAR(13)&amp;CHAR(9)&amp;CHAR(9)&amp;"&lt;conditionImmune&gt;"&amp;W3&amp;"&lt;/conditionImmune&gt;"&amp;CHAR(13)&amp;CHAR(9)&amp;CHAR(9)&amp;"&lt;senses&gt;"&amp;X3&amp;"&lt;/senses&gt;"&amp;CHAR(13)&amp;CHAR(9)&amp;CHAR(9)&amp;"&lt;passive&gt;"&amp;Y3&amp;"&lt;/passive&gt;"&amp;CHAR(13)&amp;CHAR(9)&amp;CHAR(9)&amp;"&lt;languages&gt;"&amp;Z3&amp;"&lt;/languages&gt;"&amp;CHAR(13)&amp;CHAR(9)&amp;CHAR(9)&amp;"&lt;cr&gt;"&amp;AA3&amp;"&lt;/cr&gt;"&amp;IF(AB3="","",CHAR(13)&amp;AB3)&amp;IF(AC3="","",CHAR(13)&amp;AC3)&amp;IF(AD3="","",CHAR(13)&amp;AD3)&amp;IF(AE3="","",CHAR(13)&amp;AE3)&amp;CHAR(13)&amp;CHAR(9)&amp;"&lt;/monster&gt;"))</f>
        <v/>
      </c>
      <c r="B3" s="10" t="s">
        <v>55</v>
      </c>
      <c r="C3" s="10" t="s">
        <v>37</v>
      </c>
      <c r="D3" s="10" t="s">
        <v>38</v>
      </c>
      <c r="E3" s="10" t="s">
        <v>39</v>
      </c>
      <c r="F3" s="10" t="s">
        <v>56</v>
      </c>
      <c r="G3" s="10"/>
      <c r="H3" s="10" t="s">
        <v>57</v>
      </c>
      <c r="I3" s="10" t="str">
        <f>IF(Level&gt;5,H3+Level,H3)</f>
        <v>22</v>
      </c>
      <c r="J3" s="10" t="s">
        <v>58</v>
      </c>
      <c r="K3" s="10" t="s">
        <v>43</v>
      </c>
      <c r="L3" s="10" t="s">
        <v>40</v>
      </c>
      <c r="M3" s="10" t="s">
        <v>59</v>
      </c>
      <c r="N3" s="10">
        <v>10</v>
      </c>
      <c r="O3" s="10" t="s">
        <v>60</v>
      </c>
      <c r="P3" s="10">
        <v>10</v>
      </c>
      <c r="Q3" s="10" t="s">
        <v>61</v>
      </c>
      <c r="R3" s="10" t="s">
        <v>48</v>
      </c>
      <c r="S3" s="10" t="s">
        <v>48</v>
      </c>
      <c r="T3" s="10"/>
      <c r="U3" s="10"/>
      <c r="V3" s="10"/>
      <c r="W3" s="10" t="s">
        <v>50</v>
      </c>
      <c r="X3" s="10" t="s">
        <v>51</v>
      </c>
      <c r="Y3" s="10">
        <v>10</v>
      </c>
      <c r="Z3" s="10" t="s">
        <v>52</v>
      </c>
      <c r="AA3" s="11">
        <v>1</v>
      </c>
      <c r="AB3" s="10" t="str">
        <f>IF(ISERROR(VLOOKUP(B3,Traits,6,FALSE)),"",VLOOKUP(B3,Traits,6,FALSE))</f>
        <v/>
      </c>
      <c r="AC3" s="10" t="str">
        <f>IF(ISERROR(VLOOKUP(B3,Actions,7,FALSE)),"",VLOOKUP(B3,Actions,7,FALSE))</f>
        <v xml:space="preserve">		&lt;action&gt;_x000D_			&lt;name&gt;Bite&lt;/name&gt;_x000D_			&lt;text&gt;Melee Weapon Attack: +2 to hit, reach 5 ft., one creature. Hit: 9 (2d6+2) piercing damage.&lt;/text&gt;_x000D_			&lt;attack&gt;Bite|2|2d6+2&lt;/attack&gt;_x000D_		&lt;/action&gt;_x000D_		&lt;action&gt;_x000D_			&lt;name&gt;Claws&lt;/name&gt;_x000D_			&lt;text&gt;Melee Weapon Attack: +4 to hit, reach 5 ft., one target. Hit: 7 (2d4+2) slashing damage. If the target is a creature other than an elf or undead, it must succeed on a DC 10 Constitution saving throw or be paralyzed for 1 minute. The target can repeat the saving throw at the end of each of its turns, ending the effect on itself on a success.&lt;/text&gt;_x000D_		&lt;/action&gt;</v>
      </c>
      <c r="AD3" s="10" t="s">
        <v>48</v>
      </c>
      <c r="AE3" s="10" t="s">
        <v>48</v>
      </c>
      <c r="AF3" s="10">
        <v>1</v>
      </c>
      <c r="AG3" s="10" t="s">
        <v>54</v>
      </c>
      <c r="AH3" s="15" t="s">
        <v>3</v>
      </c>
    </row>
    <row r="4" spans="1:34">
      <c r="A4" s="10" t="str">
        <f>IF(OR(AND(AH4="Create Undead", Create_Undead=FALSE),AND(AH4="Animate Dead",Animate_Dead=FALSE)),"",IF(ISBLANK(B4),"",CHAR(9)&amp;"&lt;monster&gt;"&amp;CHAR(13)&amp;CHAR(9)&amp;CHAR(9)&amp;"&lt;name&gt;"&amp;B4&amp;IF(AH4="Animate Dead"," (Animated)"," (Created)")&amp;"&lt;/name&gt;"&amp;CHAR(13)&amp;CHAR(9)&amp;CHAR(9)&amp;"&lt;size&gt;"&amp;LEFT(C4,1)&amp;"&lt;/size&gt;"&amp;CHAR(13)&amp;CHAR(9)&amp;CHAR(9)&amp;"&lt;type&gt;"&amp;D4&amp;"&lt;/type&gt;"&amp;CHAR(13)&amp;CHAR(9)&amp;CHAR(9)&amp;"&lt;alignment&gt;"&amp;E4&amp;"&lt;/alignment&gt;"&amp;CHAR(13)&amp;CHAR(9)&amp;CHAR(9)&amp;"&lt;ac&gt;"&amp;F4&amp;IF(ISBLANK(G4),""," ("&amp;G4&amp;")")&amp;"&lt;/ac&gt;"&amp;CHAR(13)&amp;CHAR(9)&amp;CHAR(9)&amp;"&lt;hp&gt;"&amp;I4&amp;IF(ISBLANK(J4),""," ("&amp;J4&amp;IF(Level&gt;5,"+"&amp;Level,"")&amp;")")&amp;"&lt;/hp&gt;"&amp;CHAR(13)&amp;CHAR(9)&amp;CHAR(9)&amp;"&lt;speed&gt;"&amp;K4&amp;"&lt;/speed&gt;"&amp;CHAR(13)&amp;CHAR(9)&amp;CHAR(9)&amp;"&lt;str&gt;"&amp;L4&amp;"&lt;/str&gt;&lt;dex&gt;"&amp;M4&amp;"&lt;/dex&gt;&lt;con&gt;"&amp;N4&amp;"&lt;/con&gt;&lt;int&gt;"&amp;O4&amp;"&lt;/int&gt;&lt;wis&gt;"&amp;P4&amp;"&lt;/wis&gt;&lt;cha&gt;"&amp;Q4&amp;"&lt;/cha&gt;"&amp;CHAR(13)&amp;CHAR(9)&amp;CHAR(9)&amp;"&lt;save&gt;"&amp;R4&amp;"&lt;/save&gt;"&amp;CHAR(13)&amp;CHAR(9)&amp;CHAR(9)&amp;"&lt;skill&gt;"&amp;S4&amp;"&lt;/skill&gt;"&amp;CHAR(13)&amp;CHAR(9)&amp;CHAR(9)&amp;"&lt;resist&gt;"&amp;T4&amp;"&lt;/resist&gt;"&amp;CHAR(13)&amp;CHAR(9)&amp;CHAR(9)&amp;"&lt;vulnerable&gt;"&amp;U4&amp;"&lt;/vulnerable&gt;"&amp;CHAR(13)&amp;CHAR(9)&amp;CHAR(9)&amp;"&lt;immune&gt;"&amp;V4&amp;"&lt;/immune&gt;"&amp;CHAR(13)&amp;CHAR(9)&amp;CHAR(9)&amp;"&lt;conditionImmune&gt;"&amp;W4&amp;"&lt;/conditionImmune&gt;"&amp;CHAR(13)&amp;CHAR(9)&amp;CHAR(9)&amp;"&lt;senses&gt;"&amp;X4&amp;"&lt;/senses&gt;"&amp;CHAR(13)&amp;CHAR(9)&amp;CHAR(9)&amp;"&lt;passive&gt;"&amp;Y4&amp;"&lt;/passive&gt;"&amp;CHAR(13)&amp;CHAR(9)&amp;CHAR(9)&amp;"&lt;languages&gt;"&amp;Z4&amp;"&lt;/languages&gt;"&amp;CHAR(13)&amp;CHAR(9)&amp;CHAR(9)&amp;"&lt;cr&gt;"&amp;AA4&amp;"&lt;/cr&gt;"&amp;IF(AB4="","",CHAR(13)&amp;AB4)&amp;IF(AC4="","",CHAR(13)&amp;AC4)&amp;IF(AD4="","",CHAR(13)&amp;AD4)&amp;IF(AE4="","",CHAR(13)&amp;AE4)&amp;CHAR(13)&amp;CHAR(9)&amp;"&lt;/monster&gt;"))</f>
        <v/>
      </c>
      <c r="B4" s="10" t="s">
        <v>62</v>
      </c>
      <c r="C4" s="10" t="s">
        <v>37</v>
      </c>
      <c r="D4" s="10" t="s">
        <v>38</v>
      </c>
      <c r="E4" s="10" t="s">
        <v>63</v>
      </c>
      <c r="F4" s="10" t="s">
        <v>46</v>
      </c>
      <c r="G4" s="10" t="s">
        <v>64</v>
      </c>
      <c r="H4" s="10" t="s">
        <v>65</v>
      </c>
      <c r="I4" s="10" t="str">
        <f>IF(Level&gt;5,H4+Level,H4)</f>
        <v>58</v>
      </c>
      <c r="J4" s="10" t="s">
        <v>66</v>
      </c>
      <c r="K4" s="10" t="s">
        <v>67</v>
      </c>
      <c r="L4" s="10" t="s">
        <v>44</v>
      </c>
      <c r="M4" s="10" t="s">
        <v>47</v>
      </c>
      <c r="N4" s="10" t="s">
        <v>59</v>
      </c>
      <c r="O4" s="10" t="s">
        <v>61</v>
      </c>
      <c r="P4" s="10">
        <v>10</v>
      </c>
      <c r="Q4" s="10" t="s">
        <v>56</v>
      </c>
      <c r="R4" s="10" t="s">
        <v>68</v>
      </c>
      <c r="S4" s="10" t="s">
        <v>48</v>
      </c>
      <c r="U4" s="10" t="s">
        <v>69</v>
      </c>
      <c r="V4" s="10" t="s">
        <v>70</v>
      </c>
      <c r="W4" s="10" t="s">
        <v>71</v>
      </c>
      <c r="X4" s="10" t="s">
        <v>51</v>
      </c>
      <c r="Y4" s="10">
        <v>10</v>
      </c>
      <c r="Z4" s="10" t="s">
        <v>72</v>
      </c>
      <c r="AA4" s="11" t="s">
        <v>73</v>
      </c>
      <c r="AB4" s="10" t="str">
        <f>IF(ISERROR(VLOOKUP(B4,Traits,6,FALSE)),"",VLOOKUP(B4,Traits,6,FALSE))</f>
        <v/>
      </c>
      <c r="AC4" s="10" t="str">
        <f>IF(ISERROR(VLOOKUP(B4,Actions,7,FALSE)),"",VLOOKUP(B4,Actions,7,FALSE))</f>
        <v xml:space="preserve">		&lt;action&gt;_x000D_			&lt;name&gt;Multiattack&lt;/name&gt;_x000D_			&lt;text&gt;The mummy can use its Dreadful Glare and makes one attack with its rotting fist.&lt;/text&gt;_x000D_		&lt;/action&gt;_x000D_		&lt;action&gt;_x000D_			&lt;name&gt;Rotting Fist&lt;/name&gt;_x000D_			&lt;text&gt;Melee Weapon Attack: +5 to hit, reach 5 ft., one target. Hit: 10 (2d6+3) bludgeoning damage plus 10 (3d6) necrotic damage. If the target is a creature, it must succeed on a DC 12 Constitution saving throw or be cursed with mummy rot. The cursed target can't regain hit points, and its hit point maximum decreases by 10 (3d6) for every 24 hours that elapse. If the curse reduces the target's hit point maximum to 0, the target dies, and its body turns to dust. The curse lasts until removed by the remove curse spell or other magic.&lt;/text&gt;_x000D_			&lt;attack&gt;Rotting Fist|5|2d6+3&lt;/attack&gt;_x000D_		&lt;/action&gt;_x000D_		&lt;action&gt;_x000D_			&lt;name&gt;Dreadful Glare&lt;/name&gt;_x000D_			&lt;text&gt;The mummy targets one creature it can see within 60 ft. of it. If the target can see the mummy, it must succeed on a DC 11 Wisdom saving throw against this magic or become frightened until the end of the mummy's next turn. If the target fails the saving throw by 5 or more, it is also paralyzed for the same duration. A target that succeeds on the saving throw is immune to the Dreadful Glare of all mummies (but not mummy lords) for the next 24 hours.&lt;/text&gt;_x000D_		&lt;/action&gt;</v>
      </c>
      <c r="AD4" s="10" t="s">
        <v>48</v>
      </c>
      <c r="AE4" s="10" t="s">
        <v>48</v>
      </c>
      <c r="AF4" s="10">
        <v>3</v>
      </c>
      <c r="AG4" s="10" t="s">
        <v>54</v>
      </c>
      <c r="AH4" s="15" t="s">
        <v>3</v>
      </c>
    </row>
    <row r="5" spans="1:34">
      <c r="A5" s="10" t="str">
        <f>IF(OR(AND(AH5="Create Undead", Create_Undead=FALSE),AND(AH5="Animate Dead",Animate_Dead=FALSE)),"",IF(ISBLANK(B5),"",CHAR(9)&amp;"&lt;monster&gt;"&amp;CHAR(13)&amp;CHAR(9)&amp;CHAR(9)&amp;"&lt;name&gt;"&amp;B5&amp;IF(AH5="Animate Dead"," (Animated)"," (Created)")&amp;"&lt;/name&gt;"&amp;CHAR(13)&amp;CHAR(9)&amp;CHAR(9)&amp;"&lt;size&gt;"&amp;LEFT(C5,1)&amp;"&lt;/size&gt;"&amp;CHAR(13)&amp;CHAR(9)&amp;CHAR(9)&amp;"&lt;type&gt;"&amp;D5&amp;"&lt;/type&gt;"&amp;CHAR(13)&amp;CHAR(9)&amp;CHAR(9)&amp;"&lt;alignment&gt;"&amp;E5&amp;"&lt;/alignment&gt;"&amp;CHAR(13)&amp;CHAR(9)&amp;CHAR(9)&amp;"&lt;ac&gt;"&amp;F5&amp;IF(ISBLANK(G5),""," ("&amp;G5&amp;")")&amp;"&lt;/ac&gt;"&amp;CHAR(13)&amp;CHAR(9)&amp;CHAR(9)&amp;"&lt;hp&gt;"&amp;I5&amp;IF(ISBLANK(J5),""," ("&amp;J5&amp;IF(Level&gt;5,"+"&amp;Level,"")&amp;")")&amp;"&lt;/hp&gt;"&amp;CHAR(13)&amp;CHAR(9)&amp;CHAR(9)&amp;"&lt;speed&gt;"&amp;K5&amp;"&lt;/speed&gt;"&amp;CHAR(13)&amp;CHAR(9)&amp;CHAR(9)&amp;"&lt;str&gt;"&amp;L5&amp;"&lt;/str&gt;&lt;dex&gt;"&amp;M5&amp;"&lt;/dex&gt;&lt;con&gt;"&amp;N5&amp;"&lt;/con&gt;&lt;int&gt;"&amp;O5&amp;"&lt;/int&gt;&lt;wis&gt;"&amp;P5&amp;"&lt;/wis&gt;&lt;cha&gt;"&amp;Q5&amp;"&lt;/cha&gt;"&amp;CHAR(13)&amp;CHAR(9)&amp;CHAR(9)&amp;"&lt;save&gt;"&amp;R5&amp;"&lt;/save&gt;"&amp;CHAR(13)&amp;CHAR(9)&amp;CHAR(9)&amp;"&lt;skill&gt;"&amp;S5&amp;"&lt;/skill&gt;"&amp;CHAR(13)&amp;CHAR(9)&amp;CHAR(9)&amp;"&lt;resist&gt;"&amp;T5&amp;"&lt;/resist&gt;"&amp;CHAR(13)&amp;CHAR(9)&amp;CHAR(9)&amp;"&lt;vulnerable&gt;"&amp;U5&amp;"&lt;/vulnerable&gt;"&amp;CHAR(13)&amp;CHAR(9)&amp;CHAR(9)&amp;"&lt;immune&gt;"&amp;V5&amp;"&lt;/immune&gt;"&amp;CHAR(13)&amp;CHAR(9)&amp;CHAR(9)&amp;"&lt;conditionImmune&gt;"&amp;W5&amp;"&lt;/conditionImmune&gt;"&amp;CHAR(13)&amp;CHAR(9)&amp;CHAR(9)&amp;"&lt;senses&gt;"&amp;X5&amp;"&lt;/senses&gt;"&amp;CHAR(13)&amp;CHAR(9)&amp;CHAR(9)&amp;"&lt;passive&gt;"&amp;Y5&amp;"&lt;/passive&gt;"&amp;CHAR(13)&amp;CHAR(9)&amp;CHAR(9)&amp;"&lt;languages&gt;"&amp;Z5&amp;"&lt;/languages&gt;"&amp;CHAR(13)&amp;CHAR(9)&amp;CHAR(9)&amp;"&lt;cr&gt;"&amp;AA5&amp;"&lt;/cr&gt;"&amp;IF(AB5="","",CHAR(13)&amp;AB5)&amp;IF(AC5="","",CHAR(13)&amp;AC5)&amp;IF(AD5="","",CHAR(13)&amp;AD5)&amp;IF(AE5="","",CHAR(13)&amp;AE5)&amp;CHAR(13)&amp;CHAR(9)&amp;"&lt;/monster&gt;"))</f>
        <v/>
      </c>
      <c r="B5" s="10" t="s">
        <v>74</v>
      </c>
      <c r="C5" s="10" t="s">
        <v>37</v>
      </c>
      <c r="D5" s="10" t="s">
        <v>38</v>
      </c>
      <c r="E5" s="10" t="s">
        <v>63</v>
      </c>
      <c r="F5" s="10" t="s">
        <v>40</v>
      </c>
      <c r="G5" s="10" t="s">
        <v>75</v>
      </c>
      <c r="H5" s="10" t="s">
        <v>40</v>
      </c>
      <c r="I5" s="10" t="str">
        <f>IF(Level&gt;5,H5+Level,H5)</f>
        <v>13</v>
      </c>
      <c r="J5" s="10" t="s">
        <v>76</v>
      </c>
      <c r="K5" s="10" t="s">
        <v>43</v>
      </c>
      <c r="L5" s="10">
        <v>10</v>
      </c>
      <c r="M5" s="10" t="s">
        <v>77</v>
      </c>
      <c r="N5" s="10" t="s">
        <v>59</v>
      </c>
      <c r="O5" s="10" t="s">
        <v>61</v>
      </c>
      <c r="P5" s="10" t="s">
        <v>47</v>
      </c>
      <c r="Q5" s="10" t="s">
        <v>78</v>
      </c>
      <c r="R5" s="10"/>
      <c r="S5" s="10" t="s">
        <v>48</v>
      </c>
      <c r="U5" s="10" t="s">
        <v>79</v>
      </c>
      <c r="V5" s="10"/>
      <c r="W5" s="10" t="s">
        <v>50</v>
      </c>
      <c r="X5" s="10" t="s">
        <v>51</v>
      </c>
      <c r="Y5" s="10">
        <v>9</v>
      </c>
      <c r="Z5" s="10" t="s">
        <v>80</v>
      </c>
      <c r="AA5" s="11" t="s">
        <v>81</v>
      </c>
      <c r="AB5" s="10" t="str">
        <f>IF(ISERROR(VLOOKUP(B5,Traits,6,FALSE)),"",VLOOKUP(B5,Traits,6,FALSE))</f>
        <v/>
      </c>
      <c r="AC5" s="10" t="str">
        <f>IF(ISERROR(VLOOKUP(B5,Actions,7,FALSE)),"",VLOOKUP(B5,Actions,7,FALSE))</f>
        <v xml:space="preserve">		&lt;action&gt;_x000D_			&lt;name&gt;Shortsword&lt;/name&gt;_x000D_			&lt;text&gt;Melee Weapon Attack: +4 to hit, reach 5 ft., one target. Hit: 5 (1d6+2) piercing damage.&lt;/text&gt;_x000D_			&lt;attack&gt;Shortsword|4|1d6+2&lt;/attack&gt;_x000D_		&lt;/action&gt;_x000D_		&lt;action&gt;_x000D_			&lt;name&gt;Shortbow&lt;/name&gt;_x000D_			&lt;text&gt;Ranged Weapon Attack: +4 to hit, range 80/320 ft., one target. Hit: 5 (1d6+2) piercing damage.&lt;/text&gt;_x000D_			&lt;attack&gt;Shortbow|4|1d6+2&lt;/attack&gt;_x000D_		&lt;/action&gt;</v>
      </c>
      <c r="AD5" s="10" t="s">
        <v>48</v>
      </c>
      <c r="AE5" s="10" t="s">
        <v>48</v>
      </c>
      <c r="AF5" s="10">
        <v>0.25</v>
      </c>
      <c r="AG5" s="10" t="s">
        <v>54</v>
      </c>
      <c r="AH5" s="15" t="s">
        <v>2</v>
      </c>
    </row>
    <row r="6" spans="1:34">
      <c r="A6" s="10" t="str">
        <f>IF(OR(AND(AH6="Create Undead", Create_Undead=FALSE),AND(AH6="Animate Dead",Animate_Dead=FALSE)),"",IF(ISBLANK(B6),"",CHAR(9)&amp;"&lt;monster&gt;"&amp;CHAR(13)&amp;CHAR(9)&amp;CHAR(9)&amp;"&lt;name&gt;"&amp;B6&amp;IF(AH6="Animate Dead"," (Animated)"," (Created)")&amp;"&lt;/name&gt;"&amp;CHAR(13)&amp;CHAR(9)&amp;CHAR(9)&amp;"&lt;size&gt;"&amp;LEFT(C6,1)&amp;"&lt;/size&gt;"&amp;CHAR(13)&amp;CHAR(9)&amp;CHAR(9)&amp;"&lt;type&gt;"&amp;D6&amp;"&lt;/type&gt;"&amp;CHAR(13)&amp;CHAR(9)&amp;CHAR(9)&amp;"&lt;alignment&gt;"&amp;E6&amp;"&lt;/alignment&gt;"&amp;CHAR(13)&amp;CHAR(9)&amp;CHAR(9)&amp;"&lt;ac&gt;"&amp;F6&amp;IF(ISBLANK(G6),""," ("&amp;G6&amp;")")&amp;"&lt;/ac&gt;"&amp;CHAR(13)&amp;CHAR(9)&amp;CHAR(9)&amp;"&lt;hp&gt;"&amp;I6&amp;IF(ISBLANK(J6),""," ("&amp;J6&amp;IF(Level&gt;5,"+"&amp;Level,"")&amp;")")&amp;"&lt;/hp&gt;"&amp;CHAR(13)&amp;CHAR(9)&amp;CHAR(9)&amp;"&lt;speed&gt;"&amp;K6&amp;"&lt;/speed&gt;"&amp;CHAR(13)&amp;CHAR(9)&amp;CHAR(9)&amp;"&lt;str&gt;"&amp;L6&amp;"&lt;/str&gt;&lt;dex&gt;"&amp;M6&amp;"&lt;/dex&gt;&lt;con&gt;"&amp;N6&amp;"&lt;/con&gt;&lt;int&gt;"&amp;O6&amp;"&lt;/int&gt;&lt;wis&gt;"&amp;P6&amp;"&lt;/wis&gt;&lt;cha&gt;"&amp;Q6&amp;"&lt;/cha&gt;"&amp;CHAR(13)&amp;CHAR(9)&amp;CHAR(9)&amp;"&lt;save&gt;"&amp;R6&amp;"&lt;/save&gt;"&amp;CHAR(13)&amp;CHAR(9)&amp;CHAR(9)&amp;"&lt;skill&gt;"&amp;S6&amp;"&lt;/skill&gt;"&amp;CHAR(13)&amp;CHAR(9)&amp;CHAR(9)&amp;"&lt;resist&gt;"&amp;T6&amp;"&lt;/resist&gt;"&amp;CHAR(13)&amp;CHAR(9)&amp;CHAR(9)&amp;"&lt;vulnerable&gt;"&amp;U6&amp;"&lt;/vulnerable&gt;"&amp;CHAR(13)&amp;CHAR(9)&amp;CHAR(9)&amp;"&lt;immune&gt;"&amp;V6&amp;"&lt;/immune&gt;"&amp;CHAR(13)&amp;CHAR(9)&amp;CHAR(9)&amp;"&lt;conditionImmune&gt;"&amp;W6&amp;"&lt;/conditionImmune&gt;"&amp;CHAR(13)&amp;CHAR(9)&amp;CHAR(9)&amp;"&lt;senses&gt;"&amp;X6&amp;"&lt;/senses&gt;"&amp;CHAR(13)&amp;CHAR(9)&amp;CHAR(9)&amp;"&lt;passive&gt;"&amp;Y6&amp;"&lt;/passive&gt;"&amp;CHAR(13)&amp;CHAR(9)&amp;CHAR(9)&amp;"&lt;languages&gt;"&amp;Z6&amp;"&lt;/languages&gt;"&amp;CHAR(13)&amp;CHAR(9)&amp;CHAR(9)&amp;"&lt;cr&gt;"&amp;AA6&amp;"&lt;/cr&gt;"&amp;IF(AB6="","",CHAR(13)&amp;AB6)&amp;IF(AC6="","",CHAR(13)&amp;AC6)&amp;IF(AD6="","",CHAR(13)&amp;AD6)&amp;IF(AE6="","",CHAR(13)&amp;AE6)&amp;CHAR(13)&amp;CHAR(9)&amp;"&lt;/monster&gt;"))</f>
        <v/>
      </c>
      <c r="B6" s="10" t="s">
        <v>82</v>
      </c>
      <c r="C6" s="10" t="s">
        <v>37</v>
      </c>
      <c r="D6" s="10" t="s">
        <v>38</v>
      </c>
      <c r="E6" s="10" t="s">
        <v>83</v>
      </c>
      <c r="F6" s="10" t="s">
        <v>47</v>
      </c>
      <c r="G6" s="10"/>
      <c r="H6" s="10" t="s">
        <v>57</v>
      </c>
      <c r="I6" s="10" t="str">
        <f>IF(Level&gt;5,H6+Level,H6)</f>
        <v>22</v>
      </c>
      <c r="J6" s="10" t="s">
        <v>84</v>
      </c>
      <c r="K6" s="10" t="s">
        <v>67</v>
      </c>
      <c r="L6" s="10" t="s">
        <v>40</v>
      </c>
      <c r="M6" s="10" t="s">
        <v>61</v>
      </c>
      <c r="N6" s="10" t="s">
        <v>44</v>
      </c>
      <c r="O6" s="10" t="s">
        <v>73</v>
      </c>
      <c r="P6" s="10" t="s">
        <v>61</v>
      </c>
      <c r="Q6" s="10" t="s">
        <v>78</v>
      </c>
      <c r="R6" s="10" t="s">
        <v>85</v>
      </c>
      <c r="S6" s="10" t="s">
        <v>48</v>
      </c>
      <c r="T6" s="10"/>
      <c r="U6" s="10"/>
      <c r="V6" s="10"/>
      <c r="W6" s="10" t="s">
        <v>50</v>
      </c>
      <c r="X6" s="10" t="s">
        <v>51</v>
      </c>
      <c r="Y6" s="10">
        <v>13</v>
      </c>
      <c r="Z6" s="10" t="s">
        <v>80</v>
      </c>
      <c r="AA6" s="11" t="s">
        <v>81</v>
      </c>
      <c r="AB6" s="10" t="str">
        <f>IF(ISERROR(VLOOKUP(B6,Traits,6,FALSE)),"",VLOOKUP(B6,Traits,6,FALSE))</f>
        <v xml:space="preserve">		&lt;trait&gt;_x000D_			&lt;name&gt;Undead Fortitude&lt;/name&gt;_x000D_			&lt;text&gt;If damage reduces the zombie to 0 hit points, it must make a Constitution saving throw with a DC of 5+the damage taken, unless the damage is radiant or from a critical hit. On a success, the zombie drops to 1 hit point instead.&lt;/text&gt;_x000D_		&lt;/trait&gt;</v>
      </c>
      <c r="AC6" s="10" t="str">
        <f>IF(ISERROR(VLOOKUP(B6,Actions,7,FALSE)),"",VLOOKUP(B6,Actions,7,FALSE))</f>
        <v xml:space="preserve">		&lt;action&gt;_x000D_			&lt;name&gt;Slam&lt;/name&gt;_x000D_			&lt;text&gt;Melee Weapon Attack: +3 to hit, reach 5 ft., one target. Hit: 4 (1d6+1) bludgeoning damage.&lt;/text&gt;_x000D_			&lt;attack&gt;Slam|3|1d6+1&lt;/attack&gt;_x000D_		&lt;/action&gt;</v>
      </c>
      <c r="AD6" s="10" t="s">
        <v>48</v>
      </c>
      <c r="AE6" s="10" t="s">
        <v>48</v>
      </c>
      <c r="AF6" s="10">
        <v>0.25</v>
      </c>
      <c r="AG6" s="10" t="s">
        <v>54</v>
      </c>
      <c r="AH6" s="15" t="s">
        <v>2</v>
      </c>
    </row>
    <row r="7" spans="1:34">
      <c r="A7" s="10"/>
    </row>
    <row r="8" spans="1:34" hidden="1">
      <c r="A8" s="10"/>
    </row>
    <row r="9" spans="1:34" hidden="1">
      <c r="A9" s="10"/>
    </row>
    <row r="10" spans="1:34" hidden="1">
      <c r="A10" s="10"/>
    </row>
    <row r="11" spans="1:34" hidden="1">
      <c r="A11" s="10"/>
    </row>
    <row r="12" spans="1:34" hidden="1">
      <c r="A12" s="10"/>
    </row>
    <row r="13" spans="1:34" hidden="1">
      <c r="A13" s="10"/>
    </row>
    <row r="14" spans="1:34" hidden="1">
      <c r="A14" s="10"/>
    </row>
    <row r="15" spans="1:34" hidden="1">
      <c r="A15" s="10"/>
    </row>
    <row r="16" spans="1:34" hidden="1">
      <c r="A16" s="10"/>
    </row>
    <row r="17" spans="1:1" hidden="1">
      <c r="A17" s="10"/>
    </row>
    <row r="18" spans="1:1" hidden="1">
      <c r="A18" s="10"/>
    </row>
    <row r="19" spans="1:1" hidden="1">
      <c r="A19" s="10"/>
    </row>
    <row r="20" spans="1:1" hidden="1">
      <c r="A20" s="10"/>
    </row>
    <row r="21" spans="1:1" hidden="1">
      <c r="A21" s="10"/>
    </row>
    <row r="22" spans="1:1" hidden="1">
      <c r="A22" s="10"/>
    </row>
    <row r="23" spans="1:1" hidden="1">
      <c r="A23" s="10"/>
    </row>
    <row r="24" spans="1:1" hidden="1">
      <c r="A24" s="10"/>
    </row>
    <row r="25" spans="1:1" hidden="1">
      <c r="A25" s="10"/>
    </row>
    <row r="26" spans="1:1" hidden="1">
      <c r="A26" s="10"/>
    </row>
    <row r="27" spans="1:1" hidden="1">
      <c r="A27" s="10"/>
    </row>
    <row r="28" spans="1:1" hidden="1">
      <c r="A28" s="10"/>
    </row>
    <row r="29" spans="1:1" hidden="1">
      <c r="A29" s="10"/>
    </row>
    <row r="30" spans="1:1" hidden="1">
      <c r="A30" s="10"/>
    </row>
    <row r="31" spans="1:1" hidden="1">
      <c r="A31" s="10"/>
    </row>
    <row r="32" spans="1:1" hidden="1">
      <c r="A32" s="10"/>
    </row>
    <row r="33" spans="1:1" hidden="1">
      <c r="A33" s="10"/>
    </row>
    <row r="34" spans="1:1" hidden="1">
      <c r="A34" s="10"/>
    </row>
    <row r="35" spans="1:1" hidden="1">
      <c r="A35" s="10"/>
    </row>
    <row r="36" spans="1:1" hidden="1">
      <c r="A36" s="10"/>
    </row>
    <row r="37" spans="1:1" hidden="1">
      <c r="A37" s="10"/>
    </row>
    <row r="38" spans="1:1" hidden="1">
      <c r="A38" s="10"/>
    </row>
    <row r="39" spans="1:1" hidden="1">
      <c r="A39" s="10"/>
    </row>
    <row r="40" spans="1:1" hidden="1">
      <c r="A40" s="10"/>
    </row>
    <row r="41" spans="1:1" hidden="1">
      <c r="A41" s="10"/>
    </row>
    <row r="42" spans="1:1" hidden="1">
      <c r="A42" s="10"/>
    </row>
    <row r="43" spans="1:1" hidden="1">
      <c r="A43" s="10"/>
    </row>
    <row r="44" spans="1:1" hidden="1">
      <c r="A44" s="10"/>
    </row>
    <row r="45" spans="1:1" hidden="1">
      <c r="A45" s="10"/>
    </row>
    <row r="46" spans="1:1" hidden="1">
      <c r="A46" s="10"/>
    </row>
    <row r="47" spans="1:1" hidden="1">
      <c r="A47" s="10"/>
    </row>
    <row r="48" spans="1:1" hidden="1">
      <c r="A48" s="10"/>
    </row>
    <row r="49" spans="1:1" hidden="1">
      <c r="A49" s="10"/>
    </row>
    <row r="50" spans="1:1" hidden="1">
      <c r="A50" s="10"/>
    </row>
    <row r="51" spans="1:1" hidden="1">
      <c r="A51" s="10"/>
    </row>
    <row r="52" spans="1:1" hidden="1">
      <c r="A52" s="10"/>
    </row>
    <row r="53" spans="1:1" hidden="1">
      <c r="A53" s="10"/>
    </row>
    <row r="54" spans="1:1" hidden="1">
      <c r="A54" s="10"/>
    </row>
    <row r="55" spans="1:1" hidden="1">
      <c r="A55" s="10"/>
    </row>
    <row r="56" spans="1:1" hidden="1">
      <c r="A56" s="10"/>
    </row>
    <row r="57" spans="1:1" hidden="1">
      <c r="A57" s="10"/>
    </row>
    <row r="58" spans="1:1" hidden="1">
      <c r="A58" s="10"/>
    </row>
    <row r="59" spans="1:1" hidden="1">
      <c r="A59" s="10"/>
    </row>
    <row r="60" spans="1:1" hidden="1">
      <c r="A60" s="10"/>
    </row>
    <row r="61" spans="1:1" hidden="1">
      <c r="A61" s="10"/>
    </row>
    <row r="62" spans="1:1" hidden="1">
      <c r="A62" s="10"/>
    </row>
    <row r="63" spans="1:1" hidden="1">
      <c r="A63" s="10"/>
    </row>
    <row r="64" spans="1:1" hidden="1">
      <c r="A64" s="10"/>
    </row>
    <row r="65" spans="1:1" hidden="1">
      <c r="A65" s="10"/>
    </row>
    <row r="66" spans="1:1" hidden="1">
      <c r="A66" s="10"/>
    </row>
    <row r="67" spans="1:1" hidden="1">
      <c r="A67" s="10"/>
    </row>
    <row r="68" spans="1:1" hidden="1">
      <c r="A68" s="10"/>
    </row>
    <row r="69" spans="1:1" hidden="1">
      <c r="A69" s="10"/>
    </row>
    <row r="70" spans="1:1" hidden="1">
      <c r="A70" s="10"/>
    </row>
    <row r="71" spans="1:1" hidden="1">
      <c r="A71" s="10"/>
    </row>
    <row r="72" spans="1:1" hidden="1">
      <c r="A72" s="10"/>
    </row>
    <row r="73" spans="1:1" hidden="1">
      <c r="A73" s="10"/>
    </row>
    <row r="74" spans="1:1" hidden="1">
      <c r="A74" s="10"/>
    </row>
    <row r="75" spans="1:1" hidden="1">
      <c r="A75" s="10"/>
    </row>
    <row r="76" spans="1:1" hidden="1">
      <c r="A76" s="10"/>
    </row>
    <row r="77" spans="1:1" hidden="1">
      <c r="A77" s="10"/>
    </row>
    <row r="78" spans="1:1" hidden="1">
      <c r="A78" s="10"/>
    </row>
    <row r="79" spans="1:1" hidden="1">
      <c r="A79" s="10"/>
    </row>
    <row r="80" spans="1:1" hidden="1">
      <c r="A80" s="10"/>
    </row>
    <row r="81" spans="1:1" hidden="1">
      <c r="A81" s="10"/>
    </row>
    <row r="82" spans="1:1" hidden="1">
      <c r="A82" s="10"/>
    </row>
    <row r="83" spans="1:1" hidden="1">
      <c r="A83" s="10"/>
    </row>
    <row r="84" spans="1:1" hidden="1">
      <c r="A84" s="10"/>
    </row>
    <row r="85" spans="1:1" hidden="1">
      <c r="A85" s="10"/>
    </row>
    <row r="86" spans="1:1" hidden="1">
      <c r="A86" s="10"/>
    </row>
    <row r="87" spans="1:1" hidden="1">
      <c r="A87" s="10"/>
    </row>
    <row r="88" spans="1:1" hidden="1">
      <c r="A88" s="10"/>
    </row>
    <row r="89" spans="1:1" hidden="1">
      <c r="A89" s="10"/>
    </row>
    <row r="90" spans="1:1" hidden="1">
      <c r="A90" s="10"/>
    </row>
    <row r="91" spans="1:1" hidden="1">
      <c r="A91" s="10"/>
    </row>
    <row r="92" spans="1:1" hidden="1">
      <c r="A92" s="10"/>
    </row>
    <row r="93" spans="1:1" hidden="1">
      <c r="A93" s="10"/>
    </row>
    <row r="94" spans="1:1" hidden="1">
      <c r="A94" s="10"/>
    </row>
    <row r="95" spans="1:1" hidden="1">
      <c r="A95" s="10"/>
    </row>
    <row r="96" spans="1:1" hidden="1">
      <c r="A96" s="10"/>
    </row>
    <row r="97" spans="1:1" hidden="1">
      <c r="A97" s="10"/>
    </row>
    <row r="98" spans="1:1" hidden="1">
      <c r="A98" s="10"/>
    </row>
    <row r="99" spans="1:1" hidden="1">
      <c r="A99" s="10"/>
    </row>
    <row r="100" spans="1:1" hidden="1">
      <c r="A100" s="10"/>
    </row>
    <row r="101" spans="1:1" hidden="1">
      <c r="A101" s="10"/>
    </row>
    <row r="102" spans="1:1" hidden="1">
      <c r="A102" s="10"/>
    </row>
    <row r="103" spans="1:1" hidden="1">
      <c r="A103" s="10"/>
    </row>
    <row r="104" spans="1:1" hidden="1">
      <c r="A104" s="10"/>
    </row>
    <row r="105" spans="1:1" hidden="1">
      <c r="A105" s="10"/>
    </row>
    <row r="106" spans="1:1" hidden="1">
      <c r="A106" s="10"/>
    </row>
    <row r="107" spans="1:1" hidden="1">
      <c r="A107" s="10"/>
    </row>
    <row r="108" spans="1:1" hidden="1">
      <c r="A108" s="10"/>
    </row>
    <row r="109" spans="1:1" hidden="1">
      <c r="A109" s="10"/>
    </row>
    <row r="110" spans="1:1" hidden="1">
      <c r="A110" s="10"/>
    </row>
    <row r="111" spans="1:1" hidden="1">
      <c r="A111" s="10"/>
    </row>
    <row r="112" spans="1:1" hidden="1">
      <c r="A112" s="10"/>
    </row>
    <row r="113" spans="1:1" hidden="1">
      <c r="A113" s="10"/>
    </row>
    <row r="114" spans="1:1" hidden="1">
      <c r="A114" s="10"/>
    </row>
    <row r="115" spans="1:1" hidden="1">
      <c r="A115" s="10"/>
    </row>
    <row r="116" spans="1:1" hidden="1">
      <c r="A116" s="10"/>
    </row>
    <row r="117" spans="1:1" hidden="1">
      <c r="A117" s="10"/>
    </row>
    <row r="118" spans="1:1" hidden="1">
      <c r="A118" s="10"/>
    </row>
    <row r="119" spans="1:1" hidden="1">
      <c r="A119" s="10"/>
    </row>
    <row r="120" spans="1:1" hidden="1">
      <c r="A120" s="10"/>
    </row>
    <row r="121" spans="1:1" hidden="1">
      <c r="A121" s="10"/>
    </row>
    <row r="122" spans="1:1" hidden="1">
      <c r="A122" s="10"/>
    </row>
    <row r="123" spans="1:1" hidden="1">
      <c r="A123" s="10"/>
    </row>
    <row r="124" spans="1:1" hidden="1">
      <c r="A124" s="10"/>
    </row>
    <row r="125" spans="1:1" hidden="1">
      <c r="A125" s="10"/>
    </row>
    <row r="126" spans="1:1" hidden="1">
      <c r="A126" s="10"/>
    </row>
    <row r="127" spans="1:1" hidden="1">
      <c r="A127" s="10"/>
    </row>
    <row r="128" spans="1:1" hidden="1">
      <c r="A128" s="10"/>
    </row>
    <row r="129" spans="1:1" hidden="1">
      <c r="A129" s="10"/>
    </row>
    <row r="130" spans="1:1" hidden="1">
      <c r="A130" s="10"/>
    </row>
    <row r="131" spans="1:1" hidden="1">
      <c r="A131" s="10"/>
    </row>
    <row r="132" spans="1:1" hidden="1">
      <c r="A132" s="10"/>
    </row>
    <row r="133" spans="1:1" hidden="1">
      <c r="A133" s="10"/>
    </row>
    <row r="134" spans="1:1" hidden="1">
      <c r="A134" s="10"/>
    </row>
    <row r="135" spans="1:1" hidden="1">
      <c r="A135" s="10"/>
    </row>
    <row r="136" spans="1:1" hidden="1">
      <c r="A136" s="10"/>
    </row>
    <row r="137" spans="1:1" hidden="1">
      <c r="A137" s="10"/>
    </row>
    <row r="138" spans="1:1" hidden="1">
      <c r="A138" s="10"/>
    </row>
    <row r="139" spans="1:1" hidden="1">
      <c r="A139" s="10"/>
    </row>
    <row r="140" spans="1:1" hidden="1">
      <c r="A140" s="10"/>
    </row>
    <row r="141" spans="1:1" hidden="1">
      <c r="A141" s="10"/>
    </row>
    <row r="142" spans="1:1" hidden="1">
      <c r="A142" s="10"/>
    </row>
    <row r="143" spans="1:1" hidden="1">
      <c r="A143" s="10"/>
    </row>
    <row r="144" spans="1:1" hidden="1">
      <c r="A144" s="10"/>
    </row>
    <row r="145" spans="1:1" hidden="1">
      <c r="A145" s="10"/>
    </row>
    <row r="146" spans="1:1" hidden="1">
      <c r="A146" s="10"/>
    </row>
    <row r="147" spans="1:1" hidden="1">
      <c r="A147" s="10"/>
    </row>
    <row r="148" spans="1:1" hidden="1">
      <c r="A148" s="10"/>
    </row>
    <row r="149" spans="1:1" hidden="1">
      <c r="A149" s="10"/>
    </row>
    <row r="150" spans="1:1" hidden="1">
      <c r="A150" s="10"/>
    </row>
    <row r="151" spans="1:1" hidden="1">
      <c r="A151" s="10"/>
    </row>
    <row r="152" spans="1:1" hidden="1">
      <c r="A152" s="10"/>
    </row>
    <row r="153" spans="1:1" hidden="1">
      <c r="A153" s="10"/>
    </row>
    <row r="154" spans="1:1" hidden="1">
      <c r="A154" s="10"/>
    </row>
    <row r="155" spans="1:1" hidden="1">
      <c r="A155" s="10"/>
    </row>
    <row r="156" spans="1:1" hidden="1">
      <c r="A156" s="10"/>
    </row>
    <row r="157" spans="1:1" hidden="1">
      <c r="A157" s="10"/>
    </row>
    <row r="158" spans="1:1" hidden="1">
      <c r="A158" s="10"/>
    </row>
    <row r="159" spans="1:1" hidden="1">
      <c r="A159" s="10"/>
    </row>
    <row r="160" spans="1:1" hidden="1">
      <c r="A160" s="10"/>
    </row>
    <row r="161" spans="1:1" hidden="1">
      <c r="A161" s="10"/>
    </row>
    <row r="162" spans="1:1" hidden="1">
      <c r="A162" s="10"/>
    </row>
    <row r="163" spans="1:1" hidden="1">
      <c r="A163" s="10"/>
    </row>
    <row r="164" spans="1:1" hidden="1">
      <c r="A164" s="10"/>
    </row>
    <row r="165" spans="1:1" hidden="1">
      <c r="A165" s="10"/>
    </row>
    <row r="166" spans="1:1" hidden="1">
      <c r="A166" s="10"/>
    </row>
    <row r="167" spans="1:1" hidden="1">
      <c r="A167" s="10"/>
    </row>
    <row r="168" spans="1:1" hidden="1">
      <c r="A168" s="10"/>
    </row>
    <row r="169" spans="1:1" hidden="1">
      <c r="A169" s="10"/>
    </row>
    <row r="170" spans="1:1" hidden="1">
      <c r="A170" s="10"/>
    </row>
    <row r="171" spans="1:1" hidden="1">
      <c r="A171" s="10"/>
    </row>
    <row r="172" spans="1:1" hidden="1">
      <c r="A172" s="10"/>
    </row>
    <row r="173" spans="1:1" hidden="1">
      <c r="A173" s="10"/>
    </row>
    <row r="174" spans="1:1" hidden="1">
      <c r="A174" s="10"/>
    </row>
    <row r="175" spans="1:1" hidden="1">
      <c r="A175" s="10"/>
    </row>
    <row r="176" spans="1:1" hidden="1">
      <c r="A176" s="10"/>
    </row>
    <row r="177" spans="1:1" hidden="1">
      <c r="A177" s="10"/>
    </row>
    <row r="178" spans="1:1" hidden="1">
      <c r="A178" s="10"/>
    </row>
    <row r="179" spans="1:1" hidden="1">
      <c r="A179" s="10"/>
    </row>
    <row r="180" spans="1:1" hidden="1">
      <c r="A180" s="10"/>
    </row>
    <row r="181" spans="1:1" hidden="1">
      <c r="A181" s="10"/>
    </row>
    <row r="182" spans="1:1" hidden="1">
      <c r="A182" s="10"/>
    </row>
    <row r="183" spans="1:1" hidden="1">
      <c r="A183" s="10"/>
    </row>
    <row r="184" spans="1:1" hidden="1">
      <c r="A184" s="10"/>
    </row>
    <row r="185" spans="1:1" hidden="1">
      <c r="A185" s="10"/>
    </row>
    <row r="186" spans="1:1" hidden="1">
      <c r="A186" s="10"/>
    </row>
    <row r="187" spans="1:1" hidden="1">
      <c r="A187" s="10"/>
    </row>
    <row r="188" spans="1:1" hidden="1">
      <c r="A188" s="10"/>
    </row>
    <row r="189" spans="1:1" hidden="1">
      <c r="A189" s="10"/>
    </row>
    <row r="190" spans="1:1" hidden="1">
      <c r="A190" s="10"/>
    </row>
    <row r="191" spans="1:1" hidden="1">
      <c r="A191" s="10"/>
    </row>
    <row r="192" spans="1:1" hidden="1">
      <c r="A192" s="10"/>
    </row>
    <row r="193" spans="1:1" hidden="1">
      <c r="A193" s="10"/>
    </row>
    <row r="194" spans="1:1" hidden="1">
      <c r="A194" s="10"/>
    </row>
    <row r="195" spans="1:1" hidden="1">
      <c r="A195" s="10"/>
    </row>
    <row r="196" spans="1:1" hidden="1">
      <c r="A196" s="10"/>
    </row>
    <row r="197" spans="1:1" hidden="1">
      <c r="A197" s="10"/>
    </row>
    <row r="198" spans="1:1" hidden="1">
      <c r="A198" s="10"/>
    </row>
    <row r="199" spans="1:1" hidden="1">
      <c r="A199" s="10"/>
    </row>
    <row r="200" spans="1:1" hidden="1">
      <c r="A200" s="10"/>
    </row>
    <row r="201" spans="1:1" hidden="1">
      <c r="A201" s="10"/>
    </row>
    <row r="202" spans="1:1" hidden="1">
      <c r="A202" s="10"/>
    </row>
    <row r="203" spans="1:1" hidden="1">
      <c r="A203" s="10"/>
    </row>
    <row r="204" spans="1:1" hidden="1">
      <c r="A204" s="10"/>
    </row>
    <row r="205" spans="1:1" hidden="1">
      <c r="A205" s="10"/>
    </row>
    <row r="206" spans="1:1" hidden="1">
      <c r="A206" s="10"/>
    </row>
    <row r="207" spans="1:1" hidden="1">
      <c r="A207" s="10"/>
    </row>
    <row r="208" spans="1:1" hidden="1">
      <c r="A208" s="10"/>
    </row>
    <row r="209" spans="1:1" hidden="1">
      <c r="A209" s="10"/>
    </row>
    <row r="210" spans="1:1" hidden="1">
      <c r="A210" s="10"/>
    </row>
    <row r="211" spans="1:1" hidden="1">
      <c r="A211" s="10"/>
    </row>
    <row r="212" spans="1:1" hidden="1">
      <c r="A212" s="10"/>
    </row>
    <row r="213" spans="1:1" hidden="1">
      <c r="A213" s="10"/>
    </row>
    <row r="214" spans="1:1" hidden="1">
      <c r="A214" s="10"/>
    </row>
    <row r="215" spans="1:1" hidden="1">
      <c r="A215" s="10"/>
    </row>
    <row r="216" spans="1:1" hidden="1">
      <c r="A216" s="10"/>
    </row>
    <row r="217" spans="1:1" hidden="1">
      <c r="A217" s="10"/>
    </row>
    <row r="218" spans="1:1" hidden="1">
      <c r="A218" s="10"/>
    </row>
    <row r="219" spans="1:1" hidden="1">
      <c r="A219" s="10"/>
    </row>
    <row r="220" spans="1:1" hidden="1">
      <c r="A220" s="10"/>
    </row>
    <row r="221" spans="1:1" hidden="1">
      <c r="A221" s="10"/>
    </row>
    <row r="222" spans="1:1" hidden="1">
      <c r="A222" s="10"/>
    </row>
    <row r="223" spans="1:1" hidden="1">
      <c r="A223" s="10"/>
    </row>
    <row r="224" spans="1:1" hidden="1">
      <c r="A224" s="10"/>
    </row>
    <row r="225" spans="1:1" hidden="1">
      <c r="A225" s="10"/>
    </row>
    <row r="226" spans="1:1" hidden="1">
      <c r="A226" s="10"/>
    </row>
    <row r="227" spans="1:1" hidden="1">
      <c r="A227" s="10"/>
    </row>
    <row r="228" spans="1:1" hidden="1">
      <c r="A228" s="10"/>
    </row>
    <row r="229" spans="1:1" hidden="1">
      <c r="A229" s="10"/>
    </row>
    <row r="230" spans="1:1" hidden="1">
      <c r="A230" s="10"/>
    </row>
    <row r="231" spans="1:1" hidden="1">
      <c r="A231" s="10"/>
    </row>
    <row r="232" spans="1:1" hidden="1">
      <c r="A232" s="10"/>
    </row>
    <row r="233" spans="1:1" hidden="1">
      <c r="A233" s="10"/>
    </row>
    <row r="234" spans="1:1" hidden="1">
      <c r="A234" s="10"/>
    </row>
    <row r="235" spans="1:1" hidden="1">
      <c r="A235" s="10"/>
    </row>
    <row r="236" spans="1:1" hidden="1">
      <c r="A236" s="10"/>
    </row>
    <row r="237" spans="1:1" hidden="1">
      <c r="A237" s="10"/>
    </row>
    <row r="238" spans="1:1" hidden="1">
      <c r="A238" s="10"/>
    </row>
    <row r="239" spans="1:1" hidden="1">
      <c r="A239" s="10"/>
    </row>
    <row r="240" spans="1:1" hidden="1">
      <c r="A240" s="10"/>
    </row>
    <row r="241" spans="1:1" hidden="1">
      <c r="A241" s="10"/>
    </row>
    <row r="242" spans="1:1" hidden="1">
      <c r="A242" s="10"/>
    </row>
    <row r="243" spans="1:1" hidden="1">
      <c r="A243" s="10"/>
    </row>
    <row r="244" spans="1:1" hidden="1">
      <c r="A244" s="10"/>
    </row>
    <row r="245" spans="1:1" hidden="1">
      <c r="A245" s="10"/>
    </row>
    <row r="246" spans="1:1" hidden="1">
      <c r="A246" s="10"/>
    </row>
    <row r="247" spans="1:1" hidden="1">
      <c r="A247" s="10"/>
    </row>
    <row r="248" spans="1:1" hidden="1">
      <c r="A248" s="10"/>
    </row>
    <row r="249" spans="1:1" hidden="1">
      <c r="A249" s="10"/>
    </row>
    <row r="250" spans="1:1" hidden="1">
      <c r="A250" s="10"/>
    </row>
    <row r="251" spans="1:1" hidden="1">
      <c r="A251" s="10"/>
    </row>
    <row r="252" spans="1:1" hidden="1">
      <c r="A252" s="10"/>
    </row>
    <row r="253" spans="1:1" hidden="1">
      <c r="A253" s="10"/>
    </row>
    <row r="254" spans="1:1" hidden="1">
      <c r="A254" s="10"/>
    </row>
    <row r="255" spans="1:1" hidden="1">
      <c r="A255" s="10"/>
    </row>
    <row r="256" spans="1:1" hidden="1">
      <c r="A256" s="10"/>
    </row>
    <row r="257" spans="1:1" hidden="1">
      <c r="A257" s="10"/>
    </row>
    <row r="258" spans="1:1" hidden="1">
      <c r="A258" s="10"/>
    </row>
    <row r="259" spans="1:1" hidden="1">
      <c r="A259" s="10"/>
    </row>
    <row r="260" spans="1:1" hidden="1">
      <c r="A260" s="10"/>
    </row>
    <row r="261" spans="1:1" hidden="1">
      <c r="A261" s="10"/>
    </row>
    <row r="262" spans="1:1" hidden="1">
      <c r="A262" s="10"/>
    </row>
    <row r="263" spans="1:1" hidden="1">
      <c r="A263" s="10"/>
    </row>
    <row r="264" spans="1:1" hidden="1">
      <c r="A264" s="10"/>
    </row>
    <row r="265" spans="1:1" hidden="1">
      <c r="A265" s="10"/>
    </row>
    <row r="266" spans="1:1" hidden="1">
      <c r="A266" s="10"/>
    </row>
    <row r="267" spans="1:1" hidden="1">
      <c r="A267" s="10"/>
    </row>
    <row r="268" spans="1:1" hidden="1">
      <c r="A268" s="10"/>
    </row>
    <row r="269" spans="1:1" hidden="1">
      <c r="A269" s="10"/>
    </row>
    <row r="270" spans="1:1" hidden="1">
      <c r="A270" s="10"/>
    </row>
    <row r="271" spans="1:1" hidden="1">
      <c r="A271" s="10"/>
    </row>
    <row r="272" spans="1:1" hidden="1">
      <c r="A272" s="10"/>
    </row>
    <row r="273" spans="1:1" hidden="1">
      <c r="A273" s="10"/>
    </row>
    <row r="274" spans="1:1" hidden="1">
      <c r="A274" s="10"/>
    </row>
    <row r="275" spans="1:1" hidden="1">
      <c r="A275" s="10"/>
    </row>
    <row r="276" spans="1:1" hidden="1">
      <c r="A276" s="10"/>
    </row>
    <row r="277" spans="1:1" hidden="1">
      <c r="A277" s="10"/>
    </row>
    <row r="278" spans="1:1" hidden="1">
      <c r="A278" s="10"/>
    </row>
    <row r="279" spans="1:1" hidden="1">
      <c r="A279" s="10"/>
    </row>
    <row r="280" spans="1:1" hidden="1">
      <c r="A280" s="10"/>
    </row>
    <row r="281" spans="1:1" hidden="1">
      <c r="A281" s="10"/>
    </row>
    <row r="282" spans="1:1" hidden="1">
      <c r="A282" s="10"/>
    </row>
    <row r="283" spans="1:1" hidden="1">
      <c r="A283" s="10"/>
    </row>
    <row r="284" spans="1:1" hidden="1">
      <c r="A284" s="10"/>
    </row>
    <row r="285" spans="1:1" hidden="1">
      <c r="A285" s="10"/>
    </row>
    <row r="286" spans="1:1" hidden="1">
      <c r="A286" s="10"/>
    </row>
    <row r="287" spans="1:1" hidden="1">
      <c r="A287" s="10"/>
    </row>
    <row r="288" spans="1:1" hidden="1">
      <c r="A288" s="10"/>
    </row>
    <row r="289" spans="1:1" hidden="1">
      <c r="A289" s="10"/>
    </row>
    <row r="290" spans="1:1" hidden="1">
      <c r="A290" s="10"/>
    </row>
    <row r="291" spans="1:1" hidden="1">
      <c r="A291" s="10"/>
    </row>
    <row r="292" spans="1:1" hidden="1">
      <c r="A292" s="10"/>
    </row>
    <row r="293" spans="1:1" hidden="1">
      <c r="A293" s="10"/>
    </row>
    <row r="294" spans="1:1" hidden="1">
      <c r="A294" s="10"/>
    </row>
    <row r="295" spans="1:1" hidden="1">
      <c r="A295" s="10"/>
    </row>
    <row r="296" spans="1:1" hidden="1">
      <c r="A296" s="10"/>
    </row>
    <row r="297" spans="1:1" hidden="1">
      <c r="A297" s="10"/>
    </row>
    <row r="298" spans="1:1" hidden="1">
      <c r="A298" s="10"/>
    </row>
    <row r="299" spans="1:1" hidden="1">
      <c r="A299" s="10"/>
    </row>
    <row r="300" spans="1:1" hidden="1">
      <c r="A300" s="10"/>
    </row>
    <row r="301" spans="1:1" hidden="1">
      <c r="A301" s="10"/>
    </row>
    <row r="302" spans="1:1" hidden="1">
      <c r="A302" s="10"/>
    </row>
    <row r="303" spans="1:1" hidden="1">
      <c r="A303" s="10"/>
    </row>
    <row r="304" spans="1:1" hidden="1">
      <c r="A304" s="10"/>
    </row>
    <row r="305" spans="1:1" hidden="1">
      <c r="A305" s="10"/>
    </row>
    <row r="306" spans="1:1" hidden="1">
      <c r="A306" s="10"/>
    </row>
    <row r="307" spans="1:1" hidden="1">
      <c r="A307" s="10"/>
    </row>
    <row r="308" spans="1:1" hidden="1">
      <c r="A308" s="10"/>
    </row>
    <row r="309" spans="1:1" hidden="1">
      <c r="A309" s="10"/>
    </row>
    <row r="310" spans="1:1" hidden="1">
      <c r="A310" s="10"/>
    </row>
    <row r="311" spans="1:1" hidden="1">
      <c r="A311" s="10"/>
    </row>
    <row r="312" spans="1:1" hidden="1">
      <c r="A312" s="10"/>
    </row>
    <row r="313" spans="1:1" hidden="1">
      <c r="A313" s="10"/>
    </row>
    <row r="314" spans="1:1" hidden="1">
      <c r="A314" s="10"/>
    </row>
    <row r="315" spans="1:1" hidden="1">
      <c r="A315" s="10"/>
    </row>
    <row r="316" spans="1:1" hidden="1">
      <c r="A316" s="10"/>
    </row>
    <row r="317" spans="1:1" hidden="1">
      <c r="A317" s="10"/>
    </row>
    <row r="318" spans="1:1" hidden="1">
      <c r="A318" s="10"/>
    </row>
    <row r="319" spans="1:1" hidden="1">
      <c r="A319" s="10"/>
    </row>
    <row r="320" spans="1:1" hidden="1">
      <c r="A320" s="10"/>
    </row>
    <row r="321" spans="1:1" hidden="1">
      <c r="A321" s="10"/>
    </row>
    <row r="322" spans="1:1" hidden="1">
      <c r="A322" s="10"/>
    </row>
    <row r="323" spans="1:1" hidden="1">
      <c r="A323" s="10"/>
    </row>
    <row r="324" spans="1:1" hidden="1">
      <c r="A324" s="10"/>
    </row>
    <row r="325" spans="1:1" hidden="1">
      <c r="A325" s="10"/>
    </row>
    <row r="326" spans="1:1" hidden="1">
      <c r="A326" s="10"/>
    </row>
    <row r="327" spans="1:1" hidden="1">
      <c r="A327" s="10"/>
    </row>
    <row r="328" spans="1:1" hidden="1">
      <c r="A328" s="10"/>
    </row>
    <row r="329" spans="1:1" hidden="1">
      <c r="A329" s="10"/>
    </row>
    <row r="330" spans="1:1" hidden="1">
      <c r="A330" s="10"/>
    </row>
    <row r="331" spans="1:1" hidden="1">
      <c r="A331" s="10"/>
    </row>
    <row r="332" spans="1:1" hidden="1">
      <c r="A332" s="10"/>
    </row>
    <row r="333" spans="1:1" hidden="1">
      <c r="A333" s="10"/>
    </row>
    <row r="334" spans="1:1" hidden="1">
      <c r="A334" s="10"/>
    </row>
    <row r="335" spans="1:1" hidden="1">
      <c r="A335" s="10"/>
    </row>
    <row r="336" spans="1:1" hidden="1">
      <c r="A336" s="10"/>
    </row>
    <row r="337" spans="1:1" hidden="1">
      <c r="A337" s="10"/>
    </row>
    <row r="338" spans="1:1" hidden="1">
      <c r="A338" s="10"/>
    </row>
    <row r="339" spans="1:1" hidden="1">
      <c r="A339" s="10"/>
    </row>
    <row r="340" spans="1:1" hidden="1">
      <c r="A340" s="10"/>
    </row>
    <row r="341" spans="1:1" hidden="1">
      <c r="A341" s="10"/>
    </row>
    <row r="342" spans="1:1" hidden="1">
      <c r="A342" s="10"/>
    </row>
    <row r="343" spans="1:1" hidden="1">
      <c r="A343" s="10"/>
    </row>
    <row r="344" spans="1:1" hidden="1">
      <c r="A344" s="10"/>
    </row>
    <row r="345" spans="1:1" hidden="1">
      <c r="A345" s="10"/>
    </row>
    <row r="346" spans="1:1" hidden="1">
      <c r="A346" s="10"/>
    </row>
    <row r="347" spans="1:1" hidden="1">
      <c r="A347" s="10"/>
    </row>
    <row r="348" spans="1:1" hidden="1">
      <c r="A348" s="10"/>
    </row>
    <row r="349" spans="1:1" hidden="1">
      <c r="A349" s="10"/>
    </row>
    <row r="350" spans="1:1" hidden="1">
      <c r="A350" s="10"/>
    </row>
    <row r="351" spans="1:1" hidden="1">
      <c r="A351" s="10"/>
    </row>
    <row r="352" spans="1:1" hidden="1">
      <c r="A352" s="10"/>
    </row>
    <row r="353" spans="1:1" hidden="1">
      <c r="A353" s="10"/>
    </row>
    <row r="354" spans="1:1" hidden="1">
      <c r="A354" s="10"/>
    </row>
    <row r="355" spans="1:1" hidden="1">
      <c r="A355" s="10"/>
    </row>
    <row r="356" spans="1:1" hidden="1">
      <c r="A356" s="10"/>
    </row>
    <row r="357" spans="1:1" hidden="1">
      <c r="A357" s="10"/>
    </row>
    <row r="358" spans="1:1" hidden="1">
      <c r="A358" s="10"/>
    </row>
    <row r="359" spans="1:1" hidden="1">
      <c r="A359" s="10"/>
    </row>
    <row r="360" spans="1:1" hidden="1">
      <c r="A360" s="10"/>
    </row>
    <row r="361" spans="1:1" hidden="1">
      <c r="A361" s="10"/>
    </row>
    <row r="362" spans="1:1" hidden="1">
      <c r="A362" s="10"/>
    </row>
    <row r="363" spans="1:1" hidden="1">
      <c r="A363" s="10"/>
    </row>
    <row r="364" spans="1:1" hidden="1">
      <c r="A364" s="10"/>
    </row>
    <row r="365" spans="1:1" hidden="1">
      <c r="A365" s="10"/>
    </row>
    <row r="366" spans="1:1" hidden="1">
      <c r="A366" s="10"/>
    </row>
    <row r="367" spans="1:1" hidden="1">
      <c r="A367" s="10"/>
    </row>
    <row r="368" spans="1:1" hidden="1">
      <c r="A368" s="10"/>
    </row>
    <row r="369" spans="1:1" hidden="1">
      <c r="A369" s="10"/>
    </row>
    <row r="370" spans="1:1" hidden="1">
      <c r="A370" s="10"/>
    </row>
    <row r="371" spans="1:1" hidden="1">
      <c r="A371" s="10"/>
    </row>
    <row r="372" spans="1:1" hidden="1">
      <c r="A372" s="10"/>
    </row>
    <row r="373" spans="1:1" hidden="1">
      <c r="A373" s="10"/>
    </row>
    <row r="374" spans="1:1" hidden="1">
      <c r="A374" s="10"/>
    </row>
    <row r="375" spans="1:1" hidden="1">
      <c r="A375" s="10"/>
    </row>
    <row r="376" spans="1:1" hidden="1">
      <c r="A376" s="10"/>
    </row>
    <row r="377" spans="1:1" hidden="1">
      <c r="A377" s="10"/>
    </row>
    <row r="378" spans="1:1" hidden="1">
      <c r="A378" s="10"/>
    </row>
    <row r="379" spans="1:1" hidden="1">
      <c r="A379" s="10"/>
    </row>
    <row r="380" spans="1:1" hidden="1">
      <c r="A380" s="10"/>
    </row>
    <row r="381" spans="1:1" hidden="1">
      <c r="A381" s="10"/>
    </row>
    <row r="382" spans="1:1" hidden="1">
      <c r="A382" s="10"/>
    </row>
    <row r="383" spans="1:1" hidden="1">
      <c r="A383" s="10"/>
    </row>
    <row r="384" spans="1:1" hidden="1">
      <c r="A384" s="10"/>
    </row>
    <row r="385" spans="1:1" hidden="1">
      <c r="A385" s="10"/>
    </row>
    <row r="386" spans="1:1" hidden="1">
      <c r="A386" s="10"/>
    </row>
    <row r="387" spans="1:1" hidden="1">
      <c r="A387" s="10"/>
    </row>
    <row r="388" spans="1:1" hidden="1">
      <c r="A388" s="10"/>
    </row>
    <row r="389" spans="1:1" hidden="1">
      <c r="A389" s="10"/>
    </row>
    <row r="390" spans="1:1" hidden="1">
      <c r="A390" s="10"/>
    </row>
    <row r="391" spans="1:1" hidden="1">
      <c r="A391" s="10"/>
    </row>
    <row r="392" spans="1:1" hidden="1">
      <c r="A392" s="13"/>
    </row>
    <row r="393" spans="1:1" hidden="1">
      <c r="A393" s="13"/>
    </row>
    <row r="394" spans="1:1" hidden="1">
      <c r="A394" s="13"/>
    </row>
    <row r="395" spans="1:1" hidden="1">
      <c r="A395" s="13"/>
    </row>
    <row r="396" spans="1:1" hidden="1">
      <c r="A396" s="13"/>
    </row>
    <row r="397" spans="1:1" hidden="1">
      <c r="A397" s="13"/>
    </row>
    <row r="398" spans="1:1" hidden="1">
      <c r="A398" s="13"/>
    </row>
    <row r="399" spans="1:1" hidden="1">
      <c r="A399" s="13"/>
    </row>
    <row r="400" spans="1:1" hidden="1">
      <c r="A400" s="13"/>
    </row>
    <row r="401" spans="1:1" hidden="1">
      <c r="A401" s="13"/>
    </row>
    <row r="402" spans="1:1" hidden="1">
      <c r="A402" s="13"/>
    </row>
    <row r="403" spans="1:1" hidden="1">
      <c r="A403" s="13"/>
    </row>
    <row r="404" spans="1:1" hidden="1">
      <c r="A404" s="13"/>
    </row>
    <row r="405" spans="1:1" hidden="1">
      <c r="A405" s="13"/>
    </row>
    <row r="406" spans="1:1" hidden="1">
      <c r="A406" s="13"/>
    </row>
    <row r="407" spans="1:1" hidden="1">
      <c r="A407" s="13"/>
    </row>
    <row r="408" spans="1:1" hidden="1">
      <c r="A408" s="13"/>
    </row>
    <row r="409" spans="1:1" hidden="1">
      <c r="A409" s="13"/>
    </row>
    <row r="410" spans="1:1" hidden="1">
      <c r="A410" s="13"/>
    </row>
    <row r="411" spans="1:1" hidden="1">
      <c r="A411" s="13"/>
    </row>
    <row r="412" spans="1:1" hidden="1">
      <c r="A412" s="13"/>
    </row>
    <row r="413" spans="1:1" hidden="1">
      <c r="A413" s="13"/>
    </row>
    <row r="414" spans="1:1" hidden="1">
      <c r="A414" s="13"/>
    </row>
    <row r="415" spans="1:1" hidden="1">
      <c r="A415" s="13"/>
    </row>
    <row r="416" spans="1:1" hidden="1">
      <c r="A416" s="13"/>
    </row>
    <row r="417" spans="1:1" hidden="1">
      <c r="A417" s="13"/>
    </row>
    <row r="418" spans="1:1" hidden="1">
      <c r="A418" s="13"/>
    </row>
    <row r="419" spans="1:1" hidden="1">
      <c r="A419" s="13"/>
    </row>
    <row r="420" spans="1:1" hidden="1">
      <c r="A420" s="13"/>
    </row>
    <row r="421" spans="1:1" hidden="1">
      <c r="A421" s="13"/>
    </row>
    <row r="422" spans="1:1" hidden="1">
      <c r="A422" s="13"/>
    </row>
    <row r="423" spans="1:1" hidden="1">
      <c r="A423" s="13"/>
    </row>
    <row r="424" spans="1:1" hidden="1">
      <c r="A424" s="13"/>
    </row>
    <row r="425" spans="1:1" hidden="1">
      <c r="A425" s="13"/>
    </row>
    <row r="426" spans="1:1" hidden="1">
      <c r="A426" s="13"/>
    </row>
    <row r="427" spans="1:1" hidden="1">
      <c r="A427" s="13"/>
    </row>
    <row r="428" spans="1:1" hidden="1">
      <c r="A428" s="13"/>
    </row>
    <row r="429" spans="1:1" hidden="1">
      <c r="A429" s="13"/>
    </row>
    <row r="430" spans="1:1" hidden="1">
      <c r="A430" s="13"/>
    </row>
    <row r="431" spans="1:1" hidden="1">
      <c r="A431" s="13"/>
    </row>
    <row r="432" spans="1:1" hidden="1">
      <c r="A432" s="13"/>
    </row>
    <row r="433" spans="1:1" hidden="1">
      <c r="A433" s="13"/>
    </row>
    <row r="434" spans="1:1" hidden="1">
      <c r="A434" s="13"/>
    </row>
    <row r="435" spans="1:1" hidden="1">
      <c r="A435" s="13"/>
    </row>
    <row r="436" spans="1:1" hidden="1">
      <c r="A436" s="13"/>
    </row>
    <row r="437" spans="1:1" hidden="1">
      <c r="A437" s="13"/>
    </row>
    <row r="438" spans="1:1" hidden="1">
      <c r="A438" s="13"/>
    </row>
    <row r="439" spans="1:1" hidden="1">
      <c r="A439" s="13"/>
    </row>
    <row r="440" spans="1:1" hidden="1">
      <c r="A440" s="13"/>
    </row>
    <row r="441" spans="1:1" hidden="1">
      <c r="A441" s="13"/>
    </row>
    <row r="442" spans="1:1" hidden="1">
      <c r="A442" s="13"/>
    </row>
    <row r="443" spans="1:1" hidden="1">
      <c r="A443" s="13"/>
    </row>
    <row r="444" spans="1:1" hidden="1">
      <c r="A444" s="13"/>
    </row>
    <row r="445" spans="1:1" hidden="1">
      <c r="A445" s="13"/>
    </row>
    <row r="446" spans="1:1" hidden="1">
      <c r="A446" s="13"/>
    </row>
    <row r="447" spans="1:1" hidden="1">
      <c r="A447" s="13"/>
    </row>
    <row r="448" spans="1:1" hidden="1">
      <c r="A448" s="13"/>
    </row>
    <row r="449" spans="1:1" hidden="1">
      <c r="A449" s="13"/>
    </row>
    <row r="450" spans="1:1" hidden="1">
      <c r="A450" s="13"/>
    </row>
    <row r="451" spans="1:1" hidden="1">
      <c r="A451" s="13"/>
    </row>
    <row r="452" spans="1:1" hidden="1">
      <c r="A452" s="13"/>
    </row>
    <row r="453" spans="1:1" hidden="1">
      <c r="A453" s="13"/>
    </row>
    <row r="454" spans="1:1" hidden="1">
      <c r="A454" s="13"/>
    </row>
    <row r="455" spans="1:1" hidden="1">
      <c r="A455" s="13"/>
    </row>
    <row r="456" spans="1:1" hidden="1">
      <c r="A456" s="13"/>
    </row>
    <row r="457" spans="1:1" hidden="1">
      <c r="A457" s="13"/>
    </row>
    <row r="458" spans="1:1" hidden="1">
      <c r="A458" s="13"/>
    </row>
    <row r="459" spans="1:1" hidden="1">
      <c r="A459" s="13"/>
    </row>
    <row r="460" spans="1:1" hidden="1">
      <c r="A460" s="13"/>
    </row>
    <row r="461" spans="1:1" hidden="1">
      <c r="A461" s="13"/>
    </row>
    <row r="462" spans="1:1" hidden="1">
      <c r="A462" s="13"/>
    </row>
    <row r="463" spans="1:1" hidden="1">
      <c r="A463" s="13"/>
    </row>
    <row r="464" spans="1:1" hidden="1">
      <c r="A464" s="13"/>
    </row>
    <row r="465" spans="1:1" hidden="1">
      <c r="A465" s="13"/>
    </row>
    <row r="466" spans="1:1" hidden="1">
      <c r="A466" s="13"/>
    </row>
    <row r="467" spans="1:1" hidden="1">
      <c r="A467" s="13"/>
    </row>
    <row r="468" spans="1:1" hidden="1">
      <c r="A468" s="13"/>
    </row>
    <row r="469" spans="1:1" hidden="1">
      <c r="A469" s="13"/>
    </row>
    <row r="470" spans="1:1" hidden="1">
      <c r="A470" s="13"/>
    </row>
    <row r="471" spans="1:1" hidden="1">
      <c r="A471" s="13"/>
    </row>
    <row r="472" spans="1:1" hidden="1">
      <c r="A472" s="13"/>
    </row>
    <row r="473" spans="1:1" hidden="1">
      <c r="A473" s="13"/>
    </row>
    <row r="474" spans="1:1" hidden="1">
      <c r="A474" s="13"/>
    </row>
    <row r="475" spans="1:1" hidden="1">
      <c r="A475" s="13"/>
    </row>
    <row r="476" spans="1:1" hidden="1">
      <c r="A476" s="13"/>
    </row>
    <row r="477" spans="1:1" hidden="1">
      <c r="A477" s="13"/>
    </row>
    <row r="478" spans="1:1" hidden="1">
      <c r="A478" s="13"/>
    </row>
    <row r="479" spans="1:1" hidden="1">
      <c r="A479" s="13"/>
    </row>
    <row r="480" spans="1:1" hidden="1">
      <c r="A480" s="13"/>
    </row>
    <row r="481" spans="1:1" hidden="1">
      <c r="A481" s="13"/>
    </row>
    <row r="482" spans="1:1" hidden="1">
      <c r="A482" s="13"/>
    </row>
    <row r="483" spans="1:1" hidden="1">
      <c r="A483" s="13"/>
    </row>
    <row r="484" spans="1:1" hidden="1">
      <c r="A484" s="13"/>
    </row>
    <row r="485" spans="1:1" hidden="1">
      <c r="A485" s="13"/>
    </row>
    <row r="486" spans="1:1" hidden="1">
      <c r="A486" s="13"/>
    </row>
    <row r="487" spans="1:1" hidden="1">
      <c r="A487" s="13"/>
    </row>
    <row r="488" spans="1:1" hidden="1">
      <c r="A488" s="13"/>
    </row>
    <row r="489" spans="1:1" hidden="1">
      <c r="A489" s="13"/>
    </row>
    <row r="490" spans="1:1" hidden="1">
      <c r="A490" s="13"/>
    </row>
    <row r="491" spans="1:1" hidden="1">
      <c r="A491" s="13"/>
    </row>
    <row r="492" spans="1:1" hidden="1">
      <c r="A492" s="13"/>
    </row>
    <row r="493" spans="1:1" hidden="1">
      <c r="A493" s="13"/>
    </row>
    <row r="494" spans="1:1" hidden="1">
      <c r="A494" s="13"/>
    </row>
    <row r="495" spans="1:1" hidden="1">
      <c r="A495" s="13"/>
    </row>
    <row r="496" spans="1:1" hidden="1">
      <c r="A496" s="13"/>
    </row>
    <row r="497" spans="1:1" hidden="1">
      <c r="A497" s="13"/>
    </row>
    <row r="498" spans="1:1" hidden="1">
      <c r="A498" s="13"/>
    </row>
    <row r="499" spans="1:1" hidden="1">
      <c r="A499" s="13"/>
    </row>
    <row r="500" spans="1:1" hidden="1">
      <c r="A500" s="13"/>
    </row>
  </sheetData>
  <sheetProtection password="EA11" sheet="1" objects="1" scenarios="1"/>
  <sortState ref="A2:AH7">
    <sortCondition ref="B1"/>
  </sortState>
  <dataValidations count="2">
    <dataValidation type="list" allowBlank="1" showInputMessage="1" showErrorMessage="1" sqref="C1:C6">
      <formula1>"Tiny,Small,Medium,Large,Huge,Gargantuan"</formula1>
    </dataValidation>
    <dataValidation type="list" allowBlank="1" showInputMessage="1" showErrorMessage="1" sqref="AH2:AH6">
      <formula1>"Animate Dead,Create Undead"</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20"/>
  <sheetViews>
    <sheetView workbookViewId="0">
      <selection activeCell="A5" sqref="A5"/>
    </sheetView>
  </sheetViews>
  <sheetFormatPr baseColWidth="10" defaultColWidth="0" defaultRowHeight="18" zeroHeight="1" x14ac:dyDescent="0"/>
  <cols>
    <col min="1" max="2" width="10.77734375" customWidth="1"/>
    <col min="3" max="3" width="13.5546875" bestFit="1" customWidth="1"/>
    <col min="4" max="4" width="120.6640625" customWidth="1"/>
    <col min="5" max="6" width="10.77734375" hidden="1" customWidth="1"/>
    <col min="7" max="7" width="10.77734375" customWidth="1"/>
    <col min="8" max="16384" width="10.77734375" hidden="1"/>
  </cols>
  <sheetData>
    <row r="1" spans="1:7" s="16" customFormat="1" ht="18" customHeight="1">
      <c r="A1" s="8" t="s">
        <v>89</v>
      </c>
      <c r="B1" s="8" t="s">
        <v>90</v>
      </c>
      <c r="C1" s="14" t="s">
        <v>91</v>
      </c>
      <c r="D1" s="14" t="s">
        <v>92</v>
      </c>
      <c r="E1" s="14" t="s">
        <v>93</v>
      </c>
      <c r="F1" s="14" t="s">
        <v>86</v>
      </c>
      <c r="G1" s="14"/>
    </row>
    <row r="2" spans="1:7" s="13" customFormat="1" ht="18" customHeight="1">
      <c r="A2" s="17" t="s">
        <v>36</v>
      </c>
      <c r="B2" s="18">
        <v>1</v>
      </c>
      <c r="C2" s="19" t="s">
        <v>94</v>
      </c>
      <c r="D2" s="19" t="s">
        <v>95</v>
      </c>
      <c r="E2" s="20" t="str">
        <f>CHAR(9)&amp;CHAR(9)&amp;"&lt;trait&gt;"&amp;CHAR(13)&amp;CHAR(9)&amp;CHAR(9)&amp;CHAR(9)&amp;"&lt;name&gt;"&amp;C2&amp;"&lt;/name&gt;"&amp;CHAR(13)&amp;CHAR(9)&amp;CHAR(9)&amp;CHAR(9)&amp;"&lt;text&gt;"&amp;D2&amp;"&lt;/text&gt;"&amp;CHAR(13)&amp;CHAR(9)&amp;CHAR(9)&amp;"&lt;/trait&gt;"</f>
        <v xml:space="preserve">		&lt;trait&gt;_x000D_			&lt;name&gt;Stench&lt;/name&gt;_x000D_			&lt;text&gt;Any creature that starts its turn within 5 ft. of the ghast must succeed on a DC 10 Constitution saving throw or be poisoned until the start of its next turn. On a successful saving throw, the creature is immune to the ghast's Stench for 24 hours.&lt;/text&gt;_x000D_		&lt;/trait&gt;</v>
      </c>
      <c r="F2" s="21" t="str">
        <f>IF(A2=A1,"",E2&amp;IF(A3=A2,CHAR(13)&amp;E3,"")&amp;IF(A4=A2,CHAR(13)&amp;E4,"")&amp;IF(A5=A2,CHAR(13)&amp;E5,"")&amp;IF(A6=A2,CHAR(13)&amp;E6,"")&amp;IF(A7=A2,CHAR(13)&amp;E7,"")&amp;IF(A8=A2,CHAR(13)&amp;E8,"")&amp;IF(A9=A2,CHAR(13)&amp;E9,"")&amp;IF(A10=A2,CHAR(13)&amp;E10,"")&amp;IF(A11=A2,CHAR(13)&amp;E11,""))</f>
        <v xml:space="preserve">		&lt;trait&gt;_x000D_			&lt;name&gt;Stench&lt;/name&gt;_x000D_			&lt;text&gt;Any creature that starts its turn within 5 ft. of the ghast must succeed on a DC 10 Constitution saving throw or be poisoned until the start of its next turn. On a successful saving throw, the creature is immune to the ghast's Stench for 24 hours.&lt;/text&gt;_x000D_		&lt;/trait&gt;_x000D_		&lt;trait&gt;_x000D_			&lt;name&gt;Turn Defiance&lt;/name&gt;_x000D_			&lt;text&gt;The ghast and any ghouls within 30 ft. of it have advantage on saving throws against effects that turn undead.&lt;/text&gt;_x000D_		&lt;/trait&gt;</v>
      </c>
      <c r="G2" s="21" t="s">
        <v>35</v>
      </c>
    </row>
    <row r="3" spans="1:7" s="13" customFormat="1" ht="18" customHeight="1">
      <c r="A3" s="17" t="s">
        <v>36</v>
      </c>
      <c r="B3" s="18">
        <v>2</v>
      </c>
      <c r="C3" s="19" t="s">
        <v>96</v>
      </c>
      <c r="D3" s="19" t="s">
        <v>97</v>
      </c>
      <c r="E3" s="20" t="str">
        <f>CHAR(9)&amp;CHAR(9)&amp;"&lt;trait&gt;"&amp;CHAR(13)&amp;CHAR(9)&amp;CHAR(9)&amp;CHAR(9)&amp;"&lt;name&gt;"&amp;C3&amp;"&lt;/name&gt;"&amp;CHAR(13)&amp;CHAR(9)&amp;CHAR(9)&amp;CHAR(9)&amp;"&lt;text&gt;"&amp;D3&amp;"&lt;/text&gt;"&amp;CHAR(13)&amp;CHAR(9)&amp;CHAR(9)&amp;"&lt;/trait&gt;"</f>
        <v xml:space="preserve">		&lt;trait&gt;_x000D_			&lt;name&gt;Turn Defiance&lt;/name&gt;_x000D_			&lt;text&gt;The ghast and any ghouls within 30 ft. of it have advantage on saving throws against effects that turn undead.&lt;/text&gt;_x000D_		&lt;/trait&gt;</v>
      </c>
      <c r="F3" s="21" t="str">
        <f>IF(A3=A2,"",E3&amp;IF(A4=A3,CHAR(13)&amp;E4,"")&amp;IF(A5=A3,CHAR(13)&amp;E5,"")&amp;IF(A6=A3,CHAR(13)&amp;E6,"")&amp;IF(A7=A3,CHAR(13)&amp;E7,"")&amp;IF(A8=A3,CHAR(13)&amp;E8,"")&amp;IF(A9=A3,CHAR(13)&amp;E9,"")&amp;IF(A10=A3,CHAR(13)&amp;E10,"")&amp;IF(A11=A3,CHAR(13)&amp;E11,"")&amp;IF(A12=A3,CHAR(13)&amp;E12,""))</f>
        <v/>
      </c>
      <c r="G3" s="21" t="s">
        <v>35</v>
      </c>
    </row>
    <row r="4" spans="1:7">
      <c r="A4" s="22" t="s">
        <v>82</v>
      </c>
      <c r="B4" s="22">
        <v>1</v>
      </c>
      <c r="C4" s="20" t="s">
        <v>98</v>
      </c>
      <c r="D4" s="20" t="s">
        <v>99</v>
      </c>
      <c r="E4" s="20" t="str">
        <f>CHAR(9)&amp;CHAR(9)&amp;"&lt;trait&gt;"&amp;CHAR(13)&amp;CHAR(9)&amp;CHAR(9)&amp;CHAR(9)&amp;"&lt;name&gt;"&amp;C4&amp;"&lt;/name&gt;"&amp;CHAR(13)&amp;CHAR(9)&amp;CHAR(9)&amp;CHAR(9)&amp;"&lt;text&gt;"&amp;D4&amp;"&lt;/text&gt;"&amp;CHAR(13)&amp;CHAR(9)&amp;CHAR(9)&amp;"&lt;/trait&gt;"</f>
        <v xml:space="preserve">		&lt;trait&gt;_x000D_			&lt;name&gt;Undead Fortitude&lt;/name&gt;_x000D_			&lt;text&gt;If damage reduces the zombie to 0 hit points, it must make a Constitution saving throw with a DC of 5+the damage taken, unless the damage is radiant or from a critical hit. On a success, the zombie drops to 1 hit point instead.&lt;/text&gt;_x000D_		&lt;/trait&gt;</v>
      </c>
      <c r="F4" s="21" t="str">
        <f>IF(A4=A3,"",E4&amp;IF(A5=A4,CHAR(13)&amp;E5,"")&amp;IF(A6=A4,CHAR(13)&amp;E6,"")&amp;IF(A7=A4,CHAR(13)&amp;E7,"")&amp;IF(A8=A4,CHAR(13)&amp;E8,"")&amp;IF(A9=A4,CHAR(13)&amp;E9,"")&amp;IF(A10=A4,CHAR(13)&amp;E10,"")&amp;IF(A11=A4,CHAR(13)&amp;E11,"")&amp;IF(A12=A4,CHAR(13)&amp;E12,"")&amp;IF(A13=A4,CHAR(13)&amp;E13,""))</f>
        <v xml:space="preserve">		&lt;trait&gt;_x000D_			&lt;name&gt;Undead Fortitude&lt;/name&gt;_x000D_			&lt;text&gt;If damage reduces the zombie to 0 hit points, it must make a Constitution saving throw with a DC of 5+the damage taken, unless the damage is radiant or from a critical hit. On a success, the zombie drops to 1 hit point instead.&lt;/text&gt;_x000D_		&lt;/trait&gt;</v>
      </c>
      <c r="G4" t="s">
        <v>35</v>
      </c>
    </row>
    <row r="5" spans="1:7">
      <c r="E5" s="20" t="str">
        <f>CHAR(9)&amp;CHAR(9)&amp;"&lt;trait&gt;"&amp;CHAR(13)&amp;CHAR(9)&amp;CHAR(9)&amp;CHAR(9)&amp;"&lt;name&gt;"&amp;C5&amp;"&lt;/name&gt;"&amp;CHAR(13)&amp;CHAR(9)&amp;CHAR(9)&amp;CHAR(9)&amp;"&lt;text&gt;"&amp;D5&amp;"&lt;/text&gt;"&amp;CHAR(13)&amp;CHAR(9)&amp;CHAR(9)&amp;"&lt;/trait&gt;"</f>
        <v xml:space="preserve">		&lt;trait&gt;_x000D_			&lt;name&gt;&lt;/name&gt;_x000D_			&lt;text&gt;&lt;/text&gt;_x000D_		&lt;/trait&gt;</v>
      </c>
      <c r="F5" s="21" t="str">
        <f>IF(A5=A4,"",E5&amp;IF(A6=A5,CHAR(13)&amp;E6,"")&amp;IF(A7=A5,CHAR(13)&amp;E7,"")&amp;IF(A8=A5,CHAR(13)&amp;E8,"")&amp;IF(A9=A5,CHAR(13)&amp;E9,"")&amp;IF(A10=A5,CHAR(13)&amp;E10,"")&amp;IF(A11=A5,CHAR(13)&amp;E11,"")&amp;IF(A12=A5,CHAR(13)&amp;E12,"")&amp;IF(A13=A5,CHAR(13)&amp;E13,"")&amp;IF(A14=A5,CHAR(13)&amp;E14,""))</f>
        <v xml:space="preserve">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v>
      </c>
    </row>
    <row r="6" spans="1:7" hidden="1">
      <c r="E6" s="20" t="str">
        <f t="shared" ref="E6:E20" si="0">CHAR(9)&amp;CHAR(9)&amp;"&lt;trait&gt;"&amp;CHAR(13)&amp;CHAR(9)&amp;CHAR(9)&amp;CHAR(9)&amp;"&lt;name&gt;"&amp;C6&amp;"&lt;/name&gt;"&amp;CHAR(13)&amp;CHAR(9)&amp;CHAR(9)&amp;CHAR(9)&amp;"&lt;text&gt;"&amp;D6&amp;"&lt;/text&gt;"&amp;CHAR(13)&amp;CHAR(9)&amp;CHAR(9)&amp;"&lt;/trait&gt;"</f>
        <v xml:space="preserve">		&lt;trait&gt;_x000D_			&lt;name&gt;&lt;/name&gt;_x000D_			&lt;text&gt;&lt;/text&gt;_x000D_		&lt;/trait&gt;</v>
      </c>
      <c r="F6" s="21" t="str">
        <f t="shared" ref="F6:F20" si="1">IF(A6=A5,"",E6&amp;IF(A7=A6,CHAR(13)&amp;E7,"")&amp;IF(A8=A6,CHAR(13)&amp;E8,"")&amp;IF(A9=A6,CHAR(13)&amp;E9,"")&amp;IF(A10=A6,CHAR(13)&amp;E10,"")&amp;IF(A11=A6,CHAR(13)&amp;E11,"")&amp;IF(A12=A6,CHAR(13)&amp;E12,"")&amp;IF(A13=A6,CHAR(13)&amp;E13,"")&amp;IF(A14=A6,CHAR(13)&amp;E14,"")&amp;IF(A15=A6,CHAR(13)&amp;E15,""))</f>
        <v/>
      </c>
    </row>
    <row r="7" spans="1:7" hidden="1">
      <c r="E7" s="20" t="str">
        <f t="shared" si="0"/>
        <v xml:space="preserve">		&lt;trait&gt;_x000D_			&lt;name&gt;&lt;/name&gt;_x000D_			&lt;text&gt;&lt;/text&gt;_x000D_		&lt;/trait&gt;</v>
      </c>
      <c r="F7" s="21" t="str">
        <f t="shared" si="1"/>
        <v/>
      </c>
    </row>
    <row r="8" spans="1:7" hidden="1">
      <c r="E8" s="20" t="str">
        <f t="shared" si="0"/>
        <v xml:space="preserve">		&lt;trait&gt;_x000D_			&lt;name&gt;&lt;/name&gt;_x000D_			&lt;text&gt;&lt;/text&gt;_x000D_		&lt;/trait&gt;</v>
      </c>
      <c r="F8" s="21" t="str">
        <f t="shared" si="1"/>
        <v/>
      </c>
    </row>
    <row r="9" spans="1:7" hidden="1">
      <c r="E9" s="20" t="str">
        <f t="shared" si="0"/>
        <v xml:space="preserve">		&lt;trait&gt;_x000D_			&lt;name&gt;&lt;/name&gt;_x000D_			&lt;text&gt;&lt;/text&gt;_x000D_		&lt;/trait&gt;</v>
      </c>
      <c r="F9" s="21" t="str">
        <f t="shared" si="1"/>
        <v/>
      </c>
    </row>
    <row r="10" spans="1:7" hidden="1">
      <c r="E10" s="20" t="str">
        <f t="shared" si="0"/>
        <v xml:space="preserve">		&lt;trait&gt;_x000D_			&lt;name&gt;&lt;/name&gt;_x000D_			&lt;text&gt;&lt;/text&gt;_x000D_		&lt;/trait&gt;</v>
      </c>
      <c r="F10" s="21" t="str">
        <f t="shared" si="1"/>
        <v/>
      </c>
    </row>
    <row r="11" spans="1:7" hidden="1">
      <c r="E11" s="20" t="str">
        <f t="shared" si="0"/>
        <v xml:space="preserve">		&lt;trait&gt;_x000D_			&lt;name&gt;&lt;/name&gt;_x000D_			&lt;text&gt;&lt;/text&gt;_x000D_		&lt;/trait&gt;</v>
      </c>
      <c r="F11" s="21" t="str">
        <f t="shared" si="1"/>
        <v/>
      </c>
    </row>
    <row r="12" spans="1:7" hidden="1">
      <c r="E12" s="20" t="str">
        <f t="shared" si="0"/>
        <v xml:space="preserve">		&lt;trait&gt;_x000D_			&lt;name&gt;&lt;/name&gt;_x000D_			&lt;text&gt;&lt;/text&gt;_x000D_		&lt;/trait&gt;</v>
      </c>
      <c r="F12" s="21" t="str">
        <f t="shared" si="1"/>
        <v/>
      </c>
    </row>
    <row r="13" spans="1:7" hidden="1">
      <c r="E13" s="20" t="str">
        <f t="shared" si="0"/>
        <v xml:space="preserve">		&lt;trait&gt;_x000D_			&lt;name&gt;&lt;/name&gt;_x000D_			&lt;text&gt;&lt;/text&gt;_x000D_		&lt;/trait&gt;</v>
      </c>
      <c r="F13" s="21" t="str">
        <f t="shared" si="1"/>
        <v/>
      </c>
    </row>
    <row r="14" spans="1:7" hidden="1">
      <c r="E14" s="20" t="str">
        <f t="shared" si="0"/>
        <v xml:space="preserve">		&lt;trait&gt;_x000D_			&lt;name&gt;&lt;/name&gt;_x000D_			&lt;text&gt;&lt;/text&gt;_x000D_		&lt;/trait&gt;</v>
      </c>
      <c r="F14" s="21" t="str">
        <f t="shared" si="1"/>
        <v/>
      </c>
    </row>
    <row r="15" spans="1:7" hidden="1">
      <c r="E15" s="20" t="str">
        <f t="shared" si="0"/>
        <v xml:space="preserve">		&lt;trait&gt;_x000D_			&lt;name&gt;&lt;/name&gt;_x000D_			&lt;text&gt;&lt;/text&gt;_x000D_		&lt;/trait&gt;</v>
      </c>
      <c r="F15" s="21" t="str">
        <f t="shared" si="1"/>
        <v/>
      </c>
    </row>
    <row r="16" spans="1:7" hidden="1">
      <c r="E16" s="20" t="str">
        <f t="shared" si="0"/>
        <v xml:space="preserve">		&lt;trait&gt;_x000D_			&lt;name&gt;&lt;/name&gt;_x000D_			&lt;text&gt;&lt;/text&gt;_x000D_		&lt;/trait&gt;</v>
      </c>
      <c r="F16" s="21" t="str">
        <f t="shared" si="1"/>
        <v/>
      </c>
    </row>
    <row r="17" spans="5:6" hidden="1">
      <c r="E17" s="20" t="str">
        <f t="shared" si="0"/>
        <v xml:space="preserve">		&lt;trait&gt;_x000D_			&lt;name&gt;&lt;/name&gt;_x000D_			&lt;text&gt;&lt;/text&gt;_x000D_		&lt;/trait&gt;</v>
      </c>
      <c r="F17" s="21" t="str">
        <f t="shared" si="1"/>
        <v/>
      </c>
    </row>
    <row r="18" spans="5:6" hidden="1">
      <c r="E18" s="20" t="str">
        <f t="shared" si="0"/>
        <v xml:space="preserve">		&lt;trait&gt;_x000D_			&lt;name&gt;&lt;/name&gt;_x000D_			&lt;text&gt;&lt;/text&gt;_x000D_		&lt;/trait&gt;</v>
      </c>
      <c r="F18" s="21" t="str">
        <f t="shared" si="1"/>
        <v/>
      </c>
    </row>
    <row r="19" spans="5:6" hidden="1">
      <c r="E19" s="20" t="str">
        <f t="shared" si="0"/>
        <v xml:space="preserve">		&lt;trait&gt;_x000D_			&lt;name&gt;&lt;/name&gt;_x000D_			&lt;text&gt;&lt;/text&gt;_x000D_		&lt;/trait&gt;</v>
      </c>
      <c r="F19" s="21" t="str">
        <f t="shared" si="1"/>
        <v/>
      </c>
    </row>
    <row r="20" spans="5:6" hidden="1">
      <c r="E20" s="20" t="str">
        <f t="shared" si="0"/>
        <v xml:space="preserve">		&lt;trait&gt;_x000D_			&lt;name&gt;&lt;/name&gt;_x000D_			&lt;text&gt;&lt;/text&gt;_x000D_		&lt;/trait&gt;</v>
      </c>
      <c r="F20" s="21" t="str">
        <f t="shared" si="1"/>
        <v/>
      </c>
    </row>
  </sheetData>
  <sheetProtection password="EA11" sheet="1" objects="1" scenarios="1"/>
  <sortState ref="A2:G5">
    <sortCondition ref="A1"/>
    <sortCondition ref="B1"/>
  </sortState>
  <dataValidations disablePrompts="1" count="1">
    <dataValidation type="list" showInputMessage="1" showErrorMessage="1" sqref="A1:A4">
      <formula1>MonsterList</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J12"/>
  <sheetViews>
    <sheetView workbookViewId="0">
      <selection activeCell="A12" sqref="A12"/>
    </sheetView>
  </sheetViews>
  <sheetFormatPr baseColWidth="10" defaultColWidth="0" defaultRowHeight="18" zeroHeight="1" x14ac:dyDescent="0"/>
  <cols>
    <col min="1" max="1" width="10.77734375" customWidth="1"/>
    <col min="2" max="2" width="2" bestFit="1" customWidth="1"/>
    <col min="3" max="3" width="11.77734375" bestFit="1" customWidth="1"/>
    <col min="4" max="4" width="75.5546875" customWidth="1"/>
    <col min="5" max="5" width="15.77734375" bestFit="1" customWidth="1"/>
    <col min="6" max="7" width="10.77734375" hidden="1" customWidth="1"/>
    <col min="8" max="8" width="2.5546875" customWidth="1"/>
    <col min="9" max="10" width="0" hidden="1" customWidth="1"/>
    <col min="11" max="16384" width="10.77734375" hidden="1"/>
  </cols>
  <sheetData>
    <row r="1" spans="1:8" s="23" customFormat="1" ht="20">
      <c r="A1" s="8" t="s">
        <v>89</v>
      </c>
      <c r="B1" s="8" t="s">
        <v>90</v>
      </c>
      <c r="C1" s="14" t="s">
        <v>91</v>
      </c>
      <c r="D1" s="14" t="s">
        <v>100</v>
      </c>
      <c r="E1" s="14" t="s">
        <v>101</v>
      </c>
      <c r="F1" s="14" t="s">
        <v>100</v>
      </c>
      <c r="G1" s="14" t="s">
        <v>86</v>
      </c>
      <c r="H1" s="14" t="s">
        <v>35</v>
      </c>
    </row>
    <row r="2" spans="1:8" s="25" customFormat="1" ht="20">
      <c r="A2" s="17" t="s">
        <v>36</v>
      </c>
      <c r="B2" s="18">
        <v>1</v>
      </c>
      <c r="C2" s="18" t="s">
        <v>102</v>
      </c>
      <c r="D2" s="18" t="str">
        <f>"Melee Weapon Attack: +3 to hit, reach 5 ft., one creature. Hit: "&amp;12+Prof&amp;" (2d8+"&amp;3+Prof&amp;") piercing damage."</f>
        <v>Melee Weapon Attack: +3 to hit, reach 5 ft., one creature. Hit: 12 (2d8+3) piercing damage.</v>
      </c>
      <c r="E2" s="18" t="str">
        <f>"Bite|3|2d8+"&amp;3+Prof</f>
        <v>Bite|3|2d8+3</v>
      </c>
      <c r="F2" s="18" t="str">
        <f t="shared" ref="F2:F11" si="0">CHAR(9)&amp;CHAR(9)&amp;"&lt;action&gt;"&amp;CHAR(13)&amp;CHAR(9)&amp;CHAR(9)&amp;CHAR(9)&amp;"&lt;name&gt;"&amp;C2&amp;"&lt;/name&gt;"&amp;CHAR(13)&amp;CHAR(9)&amp;CHAR(9)&amp;CHAR(9)&amp;"&lt;text&gt;"&amp;D2&amp;"&lt;/text&gt;"&amp;IF(ISBLANK(E2),"",CHAR(13)&amp;CHAR(9)&amp;CHAR(9)&amp;CHAR(9)&amp;"&lt;attack&gt;"&amp;E2&amp;"&lt;/attack&gt;")&amp;CHAR(13)&amp;CHAR(9)&amp;CHAR(9)&amp;"&lt;/action&gt;"</f>
        <v xml:space="preserve">		&lt;action&gt;_x000D_			&lt;name&gt;Bite&lt;/name&gt;_x000D_			&lt;text&gt;Melee Weapon Attack: +3 to hit, reach 5 ft., one creature. Hit: 12 (2d8+3) piercing damage.&lt;/text&gt;_x000D_			&lt;attack&gt;Bite|3|2d8+3&lt;/attack&gt;_x000D_		&lt;/action&gt;</v>
      </c>
      <c r="G2" s="21" t="str">
        <f t="shared" ref="G2:G11" si="1">IF(A2=A1,"",F2&amp;IF(A3=A2,CHAR(13)&amp;F3,"")&amp;IF(A4=A2,CHAR(13)&amp;F4,"")&amp;IF(A5=A2,CHAR(13)&amp;F5,"")&amp;IF(A6=A2,CHAR(13)&amp;F6,"")&amp;IF(A7=A2,CHAR(13)&amp;F7,"")&amp;IF(A8=A2,CHAR(13)&amp;F8,"")&amp;IF(A9=A2,CHAR(13)&amp;F9,"")&amp;IF(A10=A2,CHAR(13)&amp;F10,"")&amp;IF(A11=A2,CHAR(13)&amp;F11,"")&amp;IF(A12=A2,CHAR(13)&amp;F12,"")&amp;IF(A13=A2,CHAR(13)&amp;F13,"")&amp;IF(A14=A2,CHAR(13)&amp;F14,"")&amp;IF(A15=A2,CHAR(13)&amp;F15,"")&amp;IF(A16=A2,CHAR(13)&amp;F16,"")&amp;IF(A17=A2,CHAR(13)&amp;F17,""))</f>
        <v xml:space="preserve">		&lt;action&gt;_x000D_			&lt;name&gt;Bite&lt;/name&gt;_x000D_			&lt;text&gt;Melee Weapon Attack: +3 to hit, reach 5 ft., one creature. Hit: 12 (2d8+3) piercing damage.&lt;/text&gt;_x000D_			&lt;attack&gt;Bite|3|2d8+3&lt;/attack&gt;_x000D_		&lt;/action&gt;_x000D_		&lt;action&gt;_x000D_			&lt;name&gt;Claws&lt;/name&gt;_x000D_			&lt;text&gt;Melee Weapon Attack: +5 to hit, reach 5 ft., one target. Hit: 10 (2d6+3) slashing damage. If the target is a creature other than an undead, it must succeed on a DC 10 Constitution saving throw or be paralyzed for 1 minute. The target can repeat the saving throw at the end of each of its turns, ending the effect on itself on a success.&lt;/text&gt;_x000D_			&lt;attack&gt;Claws|5|2d6+3&lt;/attack&gt;_x000D_		&lt;/action&gt;</v>
      </c>
      <c r="H2" s="24" t="s">
        <v>35</v>
      </c>
    </row>
    <row r="3" spans="1:8" s="25" customFormat="1" ht="20">
      <c r="A3" s="17" t="s">
        <v>36</v>
      </c>
      <c r="B3" s="18">
        <v>2</v>
      </c>
      <c r="C3" s="18" t="s">
        <v>103</v>
      </c>
      <c r="D3" s="18" t="str">
        <f>"Melee Weapon Attack: +5 to hit, reach 5 ft., one target. Hit: "&amp;10+Prof&amp;" (2d6+"&amp;3+Prof&amp;") slashing damage. If the target is a creature other than an undead, it must succeed on a DC 10 Constitution saving throw or be paralyzed for 1 minute."&amp;" The target can repeat the saving throw at the end of each of its turns, ending the effect on itself on a success."</f>
        <v>Melee Weapon Attack: +5 to hit, reach 5 ft., one target. Hit: 10 (2d6+3) slashing damage. If the target is a creature other than an undead, it must succeed on a DC 10 Constitution saving throw or be paralyzed for 1 minute. The target can repeat the saving throw at the end of each of its turns, ending the effect on itself on a success.</v>
      </c>
      <c r="E3" s="18" t="str">
        <f>"Claws|5|2d6+"&amp;3+Prof</f>
        <v>Claws|5|2d6+3</v>
      </c>
      <c r="F3" s="18" t="str">
        <f t="shared" si="0"/>
        <v xml:space="preserve">		&lt;action&gt;_x000D_			&lt;name&gt;Claws&lt;/name&gt;_x000D_			&lt;text&gt;Melee Weapon Attack: +5 to hit, reach 5 ft., one target. Hit: 10 (2d6+3) slashing damage. If the target is a creature other than an undead, it must succeed on a DC 10 Constitution saving throw or be paralyzed for 1 minute. The target can repeat the saving throw at the end of each of its turns, ending the effect on itself on a success.&lt;/text&gt;_x000D_			&lt;attack&gt;Claws|5|2d6+3&lt;/attack&gt;_x000D_		&lt;/action&gt;</v>
      </c>
      <c r="G3" s="21" t="str">
        <f t="shared" si="1"/>
        <v/>
      </c>
      <c r="H3" s="24" t="s">
        <v>35</v>
      </c>
    </row>
    <row r="4" spans="1:8" s="25" customFormat="1" ht="20">
      <c r="A4" s="17" t="s">
        <v>55</v>
      </c>
      <c r="B4" s="18">
        <v>1</v>
      </c>
      <c r="C4" s="18" t="s">
        <v>102</v>
      </c>
      <c r="D4" s="18" t="str">
        <f>"Melee Weapon Attack: +2 to hit, reach 5 ft., one creature. Hit: "&amp;9+Prof&amp;" (2d6+"&amp;2+Prof&amp;") piercing damage."</f>
        <v>Melee Weapon Attack: +2 to hit, reach 5 ft., one creature. Hit: 9 (2d6+2) piercing damage.</v>
      </c>
      <c r="E4" s="18" t="str">
        <f>"Bite|2|2d6+"&amp;2+Prof</f>
        <v>Bite|2|2d6+2</v>
      </c>
      <c r="F4" s="18" t="str">
        <f t="shared" si="0"/>
        <v xml:space="preserve">		&lt;action&gt;_x000D_			&lt;name&gt;Bite&lt;/name&gt;_x000D_			&lt;text&gt;Melee Weapon Attack: +2 to hit, reach 5 ft., one creature. Hit: 9 (2d6+2) piercing damage.&lt;/text&gt;_x000D_			&lt;attack&gt;Bite|2|2d6+2&lt;/attack&gt;_x000D_		&lt;/action&gt;</v>
      </c>
      <c r="G4" s="21" t="str">
        <f t="shared" si="1"/>
        <v xml:space="preserve">		&lt;action&gt;_x000D_			&lt;name&gt;Bite&lt;/name&gt;_x000D_			&lt;text&gt;Melee Weapon Attack: +2 to hit, reach 5 ft., one creature. Hit: 9 (2d6+2) piercing damage.&lt;/text&gt;_x000D_			&lt;attack&gt;Bite|2|2d6+2&lt;/attack&gt;_x000D_		&lt;/action&gt;_x000D_		&lt;action&gt;_x000D_			&lt;name&gt;Claws&lt;/name&gt;_x000D_			&lt;text&gt;Melee Weapon Attack: +4 to hit, reach 5 ft., one target. Hit: 7 (2d4+2) slashing damage. If the target is a creature other than an elf or undead, it must succeed on a DC 10 Constitution saving throw or be paralyzed for 1 minute. The target can repeat the saving throw at the end of each of its turns, ending the effect on itself on a success.&lt;/text&gt;_x000D_		&lt;/action&gt;</v>
      </c>
      <c r="H4" s="24" t="s">
        <v>35</v>
      </c>
    </row>
    <row r="5" spans="1:8" s="25" customFormat="1" ht="20">
      <c r="A5" s="17" t="s">
        <v>55</v>
      </c>
      <c r="B5" s="18">
        <v>2</v>
      </c>
      <c r="C5" s="18" t="s">
        <v>103</v>
      </c>
      <c r="D5" s="26" t="str">
        <f>"Melee Weapon Attack: +4 to hit, reach 5 ft., one target. Hit: "&amp;7+Prof&amp;" (2d4+"&amp;2+Prof&amp;") slashing damage. If the target is a creature other than an elf or undead, it must succeed on a DC 10 Constitution saving throw or be paralyzed for 1 minute"&amp;". The target can repeat the saving throw at the end of each of its turns, ending the effect on itself on a success."</f>
        <v>Melee Weapon Attack: +4 to hit, reach 5 ft., one target. Hit: 7 (2d4+2) slashing damage. If the target is a creature other than an elf or undead, it must succeed on a DC 10 Constitution saving throw or be paralyzed for 1 minute. The target can repeat the saving throw at the end of each of its turns, ending the effect on itself on a success.</v>
      </c>
      <c r="E5" s="18"/>
      <c r="F5" s="18" t="str">
        <f t="shared" si="0"/>
        <v xml:space="preserve">		&lt;action&gt;_x000D_			&lt;name&gt;Claws&lt;/name&gt;_x000D_			&lt;text&gt;Melee Weapon Attack: +4 to hit, reach 5 ft., one target. Hit: 7 (2d4+2) slashing damage. If the target is a creature other than an elf or undead, it must succeed on a DC 10 Constitution saving throw or be paralyzed for 1 minute. The target can repeat the saving throw at the end of each of its turns, ending the effect on itself on a success.&lt;/text&gt;_x000D_		&lt;/action&gt;</v>
      </c>
      <c r="G5" s="21" t="str">
        <f t="shared" si="1"/>
        <v/>
      </c>
      <c r="H5" s="24" t="s">
        <v>35</v>
      </c>
    </row>
    <row r="6" spans="1:8" s="25" customFormat="1" ht="20">
      <c r="A6" s="17" t="s">
        <v>62</v>
      </c>
      <c r="B6" s="18">
        <v>1</v>
      </c>
      <c r="C6" s="18" t="s">
        <v>104</v>
      </c>
      <c r="D6" s="18" t="s">
        <v>105</v>
      </c>
      <c r="E6" s="18"/>
      <c r="F6" s="18" t="str">
        <f t="shared" si="0"/>
        <v xml:space="preserve">		&lt;action&gt;_x000D_			&lt;name&gt;Multiattack&lt;/name&gt;_x000D_			&lt;text&gt;The mummy can use its Dreadful Glare and makes one attack with its rotting fist.&lt;/text&gt;_x000D_		&lt;/action&gt;</v>
      </c>
      <c r="G6" s="21" t="str">
        <f t="shared" si="1"/>
        <v xml:space="preserve">		&lt;action&gt;_x000D_			&lt;name&gt;Multiattack&lt;/name&gt;_x000D_			&lt;text&gt;The mummy can use its Dreadful Glare and makes one attack with its rotting fist.&lt;/text&gt;_x000D_		&lt;/action&gt;_x000D_		&lt;action&gt;_x000D_			&lt;name&gt;Rotting Fist&lt;/name&gt;_x000D_			&lt;text&gt;Melee Weapon Attack: +5 to hit, reach 5 ft., one target. Hit: 10 (2d6+3) bludgeoning damage plus 10 (3d6) necrotic damage. If the target is a creature, it must succeed on a DC 12 Constitution saving throw or be cursed with mummy rot. The cursed target can't regain hit points, and its hit point maximum decreases by 10 (3d6) for every 24 hours that elapse. If the curse reduces the target's hit point maximum to 0, the target dies, and its body turns to dust. The curse lasts until removed by the remove curse spell or other magic.&lt;/text&gt;_x000D_			&lt;attack&gt;Rotting Fist|5|2d6+3&lt;/attack&gt;_x000D_		&lt;/action&gt;_x000D_		&lt;action&gt;_x000D_			&lt;name&gt;Dreadful Glare&lt;/name&gt;_x000D_			&lt;text&gt;The mummy targets one creature it can see within 60 ft. of it. If the target can see the mummy, it must succeed on a DC 11 Wisdom saving throw against this magic or become frightened until the end of the mummy's next turn. If the target fails the saving throw by 5 or more, it is also paralyzed for the same duration. A target that succeeds on the saving throw is immune to the Dreadful Glare of all mummies (but not mummy lords) for the next 24 hours.&lt;/text&gt;_x000D_		&lt;/action&gt;</v>
      </c>
      <c r="H6" s="24" t="s">
        <v>35</v>
      </c>
    </row>
    <row r="7" spans="1:8" s="25" customFormat="1" ht="20">
      <c r="A7" s="17" t="s">
        <v>62</v>
      </c>
      <c r="B7" s="18">
        <v>2</v>
      </c>
      <c r="C7" s="18" t="s">
        <v>106</v>
      </c>
      <c r="D7" s="18" t="str">
        <f>"Melee Weapon Attack: +5 to hit, reach 5 ft., one target. Hit: "&amp;10+Prof&amp;" (2d6+"&amp;3+Prof&amp;") bludgeoning damage plus 10 (3d6) necrotic damage. If the target is a creature, it must succeed on a DC 12 Constitution saving throw or be cursed with mummy rot. "&amp;"The cursed target can't regain hit points, and its hit point maximum decreases by 10 (3d6) for every 24 hours that elapse. If the curse reduces the target's hit point maximum to 0, the target dies, and its body turns to dust. "&amp;"The curse lasts until removed by the remove curse spell or other magic."</f>
        <v>Melee Weapon Attack: +5 to hit, reach 5 ft., one target. Hit: 10 (2d6+3) bludgeoning damage plus 10 (3d6) necrotic damage. If the target is a creature, it must succeed on a DC 12 Constitution saving throw or be cursed with mummy rot. The cursed target can't regain hit points, and its hit point maximum decreases by 10 (3d6) for every 24 hours that elapse. If the curse reduces the target's hit point maximum to 0, the target dies, and its body turns to dust. The curse lasts until removed by the remove curse spell or other magic.</v>
      </c>
      <c r="E7" s="18" t="str">
        <f>"Rotting Fist|5|2d6+"&amp;3+Prof</f>
        <v>Rotting Fist|5|2d6+3</v>
      </c>
      <c r="F7" s="18" t="str">
        <f t="shared" si="0"/>
        <v xml:space="preserve">		&lt;action&gt;_x000D_			&lt;name&gt;Rotting Fist&lt;/name&gt;_x000D_			&lt;text&gt;Melee Weapon Attack: +5 to hit, reach 5 ft., one target. Hit: 10 (2d6+3) bludgeoning damage plus 10 (3d6) necrotic damage. If the target is a creature, it must succeed on a DC 12 Constitution saving throw or be cursed with mummy rot. The cursed target can't regain hit points, and its hit point maximum decreases by 10 (3d6) for every 24 hours that elapse. If the curse reduces the target's hit point maximum to 0, the target dies, and its body turns to dust. The curse lasts until removed by the remove curse spell or other magic.&lt;/text&gt;_x000D_			&lt;attack&gt;Rotting Fist|5|2d6+3&lt;/attack&gt;_x000D_		&lt;/action&gt;</v>
      </c>
      <c r="G7" s="21" t="str">
        <f t="shared" si="1"/>
        <v/>
      </c>
      <c r="H7" s="24" t="s">
        <v>35</v>
      </c>
    </row>
    <row r="8" spans="1:8" s="25" customFormat="1" ht="20">
      <c r="A8" s="17" t="s">
        <v>62</v>
      </c>
      <c r="B8" s="18">
        <v>3</v>
      </c>
      <c r="C8" s="18" t="s">
        <v>107</v>
      </c>
      <c r="D8" s="18" t="s">
        <v>108</v>
      </c>
      <c r="E8" s="18"/>
      <c r="F8" s="18" t="str">
        <f t="shared" si="0"/>
        <v xml:space="preserve">		&lt;action&gt;_x000D_			&lt;name&gt;Dreadful Glare&lt;/name&gt;_x000D_			&lt;text&gt;The mummy targets one creature it can see within 60 ft. of it. If the target can see the mummy, it must succeed on a DC 11 Wisdom saving throw against this magic or become frightened until the end of the mummy's next turn. If the target fails the saving throw by 5 or more, it is also paralyzed for the same duration. A target that succeeds on the saving throw is immune to the Dreadful Glare of all mummies (but not mummy lords) for the next 24 hours.&lt;/text&gt;_x000D_		&lt;/action&gt;</v>
      </c>
      <c r="G8" s="21" t="str">
        <f t="shared" si="1"/>
        <v/>
      </c>
      <c r="H8" s="24" t="s">
        <v>35</v>
      </c>
    </row>
    <row r="9" spans="1:8" s="25" customFormat="1" ht="20">
      <c r="A9" s="17" t="s">
        <v>74</v>
      </c>
      <c r="B9" s="18">
        <v>1</v>
      </c>
      <c r="C9" s="18" t="s">
        <v>109</v>
      </c>
      <c r="D9" s="18" t="str">
        <f>"Melee Weapon Attack: +4 to hit, reach 5 ft., one target. Hit: "&amp;5+Prof&amp;" (1d6+"&amp;2+Prof&amp;") piercing damage."</f>
        <v>Melee Weapon Attack: +4 to hit, reach 5 ft., one target. Hit: 5 (1d6+2) piercing damage.</v>
      </c>
      <c r="E9" s="18" t="str">
        <f>"Shortsword|4|1d6+"&amp;2+Prof</f>
        <v>Shortsword|4|1d6+2</v>
      </c>
      <c r="F9" s="18" t="str">
        <f t="shared" si="0"/>
        <v xml:space="preserve">		&lt;action&gt;_x000D_			&lt;name&gt;Shortsword&lt;/name&gt;_x000D_			&lt;text&gt;Melee Weapon Attack: +4 to hit, reach 5 ft., one target. Hit: 5 (1d6+2) piercing damage.&lt;/text&gt;_x000D_			&lt;attack&gt;Shortsword|4|1d6+2&lt;/attack&gt;_x000D_		&lt;/action&gt;</v>
      </c>
      <c r="G9" s="21" t="str">
        <f t="shared" si="1"/>
        <v xml:space="preserve">		&lt;action&gt;_x000D_			&lt;name&gt;Shortsword&lt;/name&gt;_x000D_			&lt;text&gt;Melee Weapon Attack: +4 to hit, reach 5 ft., one target. Hit: 5 (1d6+2) piercing damage.&lt;/text&gt;_x000D_			&lt;attack&gt;Shortsword|4|1d6+2&lt;/attack&gt;_x000D_		&lt;/action&gt;_x000D_		&lt;action&gt;_x000D_			&lt;name&gt;Shortbow&lt;/name&gt;_x000D_			&lt;text&gt;Ranged Weapon Attack: +4 to hit, range 80/320 ft., one target. Hit: 5 (1d6+2) piercing damage.&lt;/text&gt;_x000D_			&lt;attack&gt;Shortbow|4|1d6+2&lt;/attack&gt;_x000D_		&lt;/action&gt;</v>
      </c>
      <c r="H9" s="24" t="s">
        <v>35</v>
      </c>
    </row>
    <row r="10" spans="1:8" s="25" customFormat="1" ht="20">
      <c r="A10" s="17" t="s">
        <v>74</v>
      </c>
      <c r="B10" s="18">
        <v>2</v>
      </c>
      <c r="C10" s="18" t="s">
        <v>110</v>
      </c>
      <c r="D10" s="18" t="str">
        <f>"Ranged Weapon Attack: +4 to hit, range 80/320 ft., one target. Hit: "&amp;5+Prof&amp;" (1d6+"&amp;2+Prof&amp;") piercing damage."</f>
        <v>Ranged Weapon Attack: +4 to hit, range 80/320 ft., one target. Hit: 5 (1d6+2) piercing damage.</v>
      </c>
      <c r="E10" s="18" t="str">
        <f>"Shortbow|4|1d6+"&amp;2+Prof</f>
        <v>Shortbow|4|1d6+2</v>
      </c>
      <c r="F10" s="18" t="str">
        <f t="shared" si="0"/>
        <v xml:space="preserve">		&lt;action&gt;_x000D_			&lt;name&gt;Shortbow&lt;/name&gt;_x000D_			&lt;text&gt;Ranged Weapon Attack: +4 to hit, range 80/320 ft., one target. Hit: 5 (1d6+2) piercing damage.&lt;/text&gt;_x000D_			&lt;attack&gt;Shortbow|4|1d6+2&lt;/attack&gt;_x000D_		&lt;/action&gt;</v>
      </c>
      <c r="G10" s="21" t="str">
        <f t="shared" si="1"/>
        <v/>
      </c>
      <c r="H10" s="24" t="s">
        <v>35</v>
      </c>
    </row>
    <row r="11" spans="1:8" s="25" customFormat="1" ht="20">
      <c r="A11" s="17" t="s">
        <v>82</v>
      </c>
      <c r="B11" s="18">
        <v>1</v>
      </c>
      <c r="C11" s="18" t="s">
        <v>111</v>
      </c>
      <c r="D11" s="18" t="str">
        <f>"Melee Weapon Attack: +3 to hit, reach 5 ft., one target. Hit: "&amp;4+Prof&amp;" (1d6+"&amp;1+Prof&amp;") bludgeoning damage."</f>
        <v>Melee Weapon Attack: +3 to hit, reach 5 ft., one target. Hit: 4 (1d6+1) bludgeoning damage.</v>
      </c>
      <c r="E11" s="18" t="str">
        <f>"Slam|3|1d6+"&amp;1+Prof</f>
        <v>Slam|3|1d6+1</v>
      </c>
      <c r="F11" s="18" t="str">
        <f t="shared" si="0"/>
        <v xml:space="preserve">		&lt;action&gt;_x000D_			&lt;name&gt;Slam&lt;/name&gt;_x000D_			&lt;text&gt;Melee Weapon Attack: +3 to hit, reach 5 ft., one target. Hit: 4 (1d6+1) bludgeoning damage.&lt;/text&gt;_x000D_			&lt;attack&gt;Slam|3|1d6+1&lt;/attack&gt;_x000D_		&lt;/action&gt;</v>
      </c>
      <c r="G11" s="21" t="str">
        <f t="shared" si="1"/>
        <v xml:space="preserve">		&lt;action&gt;_x000D_			&lt;name&gt;Slam&lt;/name&gt;_x000D_			&lt;text&gt;Melee Weapon Attack: +3 to hit, reach 5 ft., one target. Hit: 4 (1d6+1) bludgeoning damage.&lt;/text&gt;_x000D_			&lt;attack&gt;Slam|3|1d6+1&lt;/attack&gt;_x000D_		&lt;/action&gt;</v>
      </c>
      <c r="H11" s="24" t="s">
        <v>35</v>
      </c>
    </row>
    <row r="12" spans="1:8">
      <c r="H12" s="24" t="s">
        <v>35</v>
      </c>
    </row>
  </sheetData>
  <sheetProtection password="EA11" sheet="1" objects="1" scenarios="1"/>
  <sortState ref="A2:I12">
    <sortCondition ref="A1"/>
    <sortCondition ref="B1"/>
  </sortState>
  <dataValidations count="2">
    <dataValidation type="list" showInputMessage="1" showErrorMessage="1" sqref="A1:A11">
      <formula1>MonsterList</formula1>
    </dataValidation>
    <dataValidation type="whole" allowBlank="1" showInputMessage="1" showErrorMessage="1" sqref="B1:B11">
      <formula1>1</formula1>
      <formula2>12</formula2>
    </dataValidation>
  </dataValidations>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Necromancer</vt:lpstr>
      <vt:lpstr>Undead</vt:lpstr>
      <vt:lpstr>Traits</vt:lpstr>
      <vt:lpstr>Actions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Rich</dc:creator>
  <cp:lastModifiedBy>David Rich</cp:lastModifiedBy>
  <dcterms:created xsi:type="dcterms:W3CDTF">2015-04-06T15:54:12Z</dcterms:created>
  <dcterms:modified xsi:type="dcterms:W3CDTF">2015-04-06T18:26:10Z</dcterms:modified>
</cp:coreProperties>
</file>