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5725" codeName="{00000000-0000-0000-0000-000000000000}"/>
  <workbookPr showInkAnnotation="0" codeName="ThisWorkbook" autoCompressPictures="0"/>
  <workbookProtection workbookPassword="EA11" lockStructure="1"/>
  <bookViews>
    <workbookView xWindow="0" yWindow="-20" windowWidth="38400" windowHeight="21120" tabRatio="807"/>
  </bookViews>
  <sheets>
    <sheet name="Druid" sheetId="11" r:id="rId1"/>
    <sheet name="Wild Shape" sheetId="2" r:id="rId2"/>
  </sheets>
  <definedNames>
    <definedName name="_xlnm._FilterDatabase" localSheetId="1" hidden="1">'Wild Shape'!$A$1:$DR$101</definedName>
    <definedName name="COTM">Druid!$B$3</definedName>
    <definedName name="DruidAcrobatics">Druid!$M$3</definedName>
    <definedName name="DruidAlignment">Druid!$F$3</definedName>
    <definedName name="DruidAnimalHandling">Druid!$N$3</definedName>
    <definedName name="DruidArcana">Druid!$O$3</definedName>
    <definedName name="DruidAtheltics">Druid!$P$3</definedName>
    <definedName name="DruidAthletics">Druid!$P$3</definedName>
    <definedName name="DruidCha">Druid!$E$3</definedName>
    <definedName name="DruidChaSave">Druid!$L$3</definedName>
    <definedName name="DruidConSave">Druid!$I$3</definedName>
    <definedName name="DruidDeception">Druid!$Q$3</definedName>
    <definedName name="DruidDexSave">Druid!$H$3</definedName>
    <definedName name="DruidHistory">Druid!$R$3</definedName>
    <definedName name="DruidInsight">Druid!$S$3</definedName>
    <definedName name="DruidInt">Druid!$C$3</definedName>
    <definedName name="DruidIntimidation">Druid!$T$3</definedName>
    <definedName name="DruidIntSave">Druid!$J$3</definedName>
    <definedName name="DruidInvestigation">Druid!$U$3</definedName>
    <definedName name="DruidLevel">Druid!$A$3</definedName>
    <definedName name="DruidMedicine">Druid!$V$3</definedName>
    <definedName name="DruidNature">Druid!$W$3</definedName>
    <definedName name="DruidPerception">Druid!$X$3</definedName>
    <definedName name="DruidPerformance">Druid!$Y$3</definedName>
    <definedName name="DruidPersuasion">Druid!$Z$3</definedName>
    <definedName name="DruidReligion">Druid!$AA$3</definedName>
    <definedName name="DruidSleightofHand">Druid!$AB$3</definedName>
    <definedName name="DruidStealth">Druid!$AC$3</definedName>
    <definedName name="DruidStrSave">Druid!$G$3</definedName>
    <definedName name="DruidSurvival">Druid!$AD$3</definedName>
    <definedName name="DruidWis">Druid!$D$3</definedName>
    <definedName name="DruidWisSave">Druid!$K$3</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41" i="2" l="1"/>
  <c r="AN17" i="2"/>
  <c r="AK17" i="2"/>
  <c r="AI17" i="2"/>
  <c r="AJ17" i="2"/>
  <c r="AD17" i="2"/>
  <c r="AC17" i="2"/>
  <c r="AB17" i="2"/>
  <c r="N17" i="2"/>
  <c r="CL5" i="2"/>
  <c r="CM5" i="2"/>
  <c r="CN5" i="2"/>
  <c r="CK5" i="2"/>
  <c r="B5" i="2"/>
  <c r="C5" i="2"/>
  <c r="A5" i="2"/>
  <c r="CL6" i="2"/>
  <c r="CM6" i="2"/>
  <c r="CN6" i="2"/>
  <c r="CK6" i="2"/>
  <c r="B6" i="2"/>
  <c r="N6" i="2"/>
  <c r="E6" i="2"/>
  <c r="AB6" i="2"/>
  <c r="AC6" i="2"/>
  <c r="AD6" i="2"/>
  <c r="AK6" i="2"/>
  <c r="AI6" i="2"/>
  <c r="AJ6" i="2"/>
  <c r="AN6" i="2"/>
  <c r="F6" i="2"/>
  <c r="G6" i="2"/>
  <c r="H6" i="2"/>
  <c r="I6" i="2"/>
  <c r="J6" i="2"/>
  <c r="K6" i="2"/>
  <c r="C6" i="2"/>
  <c r="A6" i="2"/>
  <c r="CL7" i="2"/>
  <c r="CM7" i="2"/>
  <c r="CN7" i="2"/>
  <c r="CK7" i="2"/>
  <c r="B7" i="2"/>
  <c r="N7" i="2"/>
  <c r="E7" i="2"/>
  <c r="AB7" i="2"/>
  <c r="AC7" i="2"/>
  <c r="AD7" i="2"/>
  <c r="AK7" i="2"/>
  <c r="AI7" i="2"/>
  <c r="AJ7" i="2"/>
  <c r="AN7" i="2"/>
  <c r="F7" i="2"/>
  <c r="G7" i="2"/>
  <c r="H7" i="2"/>
  <c r="I7" i="2"/>
  <c r="J7" i="2"/>
  <c r="K7" i="2"/>
  <c r="C7" i="2"/>
  <c r="A7" i="2"/>
  <c r="CL8" i="2"/>
  <c r="CM8" i="2"/>
  <c r="CN8" i="2"/>
  <c r="CK8" i="2"/>
  <c r="B8" i="2"/>
  <c r="N8" i="2"/>
  <c r="E8" i="2"/>
  <c r="AB8" i="2"/>
  <c r="AC8" i="2"/>
  <c r="AD8" i="2"/>
  <c r="AK8" i="2"/>
  <c r="AI8" i="2"/>
  <c r="AJ8" i="2"/>
  <c r="AN8" i="2"/>
  <c r="F8" i="2"/>
  <c r="G8" i="2"/>
  <c r="H8" i="2"/>
  <c r="I8" i="2"/>
  <c r="J8" i="2"/>
  <c r="K8" i="2"/>
  <c r="C8" i="2"/>
  <c r="A8" i="2"/>
  <c r="CL9" i="2"/>
  <c r="CM9" i="2"/>
  <c r="CN9" i="2"/>
  <c r="CK9" i="2"/>
  <c r="B9" i="2"/>
  <c r="N9" i="2"/>
  <c r="E9" i="2"/>
  <c r="AB9" i="2"/>
  <c r="AC9" i="2"/>
  <c r="AD9" i="2"/>
  <c r="AK9" i="2"/>
  <c r="AI9" i="2"/>
  <c r="AJ9" i="2"/>
  <c r="AN9" i="2"/>
  <c r="F9" i="2"/>
  <c r="G9" i="2"/>
  <c r="H9" i="2"/>
  <c r="I9" i="2"/>
  <c r="J9" i="2"/>
  <c r="K9" i="2"/>
  <c r="C9" i="2"/>
  <c r="A9" i="2"/>
  <c r="CL10" i="2"/>
  <c r="CM10" i="2"/>
  <c r="CN10" i="2"/>
  <c r="CK10" i="2"/>
  <c r="B10" i="2"/>
  <c r="C10" i="2"/>
  <c r="A10" i="2"/>
  <c r="CL11" i="2"/>
  <c r="CM11" i="2"/>
  <c r="CN11" i="2"/>
  <c r="CK11" i="2"/>
  <c r="B11" i="2"/>
  <c r="N11" i="2"/>
  <c r="E11" i="2"/>
  <c r="AB11" i="2"/>
  <c r="AC11" i="2"/>
  <c r="AD11" i="2"/>
  <c r="AK11" i="2"/>
  <c r="AI11" i="2"/>
  <c r="AJ11" i="2"/>
  <c r="AN11" i="2"/>
  <c r="F11" i="2"/>
  <c r="G11" i="2"/>
  <c r="H11" i="2"/>
  <c r="I11" i="2"/>
  <c r="J11" i="2"/>
  <c r="K11" i="2"/>
  <c r="C11" i="2"/>
  <c r="A11" i="2"/>
  <c r="CL12" i="2"/>
  <c r="CM12" i="2"/>
  <c r="CN12" i="2"/>
  <c r="CK12" i="2"/>
  <c r="B12" i="2"/>
  <c r="C12" i="2"/>
  <c r="A12" i="2"/>
  <c r="CL13" i="2"/>
  <c r="CM13" i="2"/>
  <c r="CN13" i="2"/>
  <c r="CK13" i="2"/>
  <c r="B13" i="2"/>
  <c r="N13" i="2"/>
  <c r="E13" i="2"/>
  <c r="AB13" i="2"/>
  <c r="AC13" i="2"/>
  <c r="AD13" i="2"/>
  <c r="AK13" i="2"/>
  <c r="AI13" i="2"/>
  <c r="AJ13" i="2"/>
  <c r="AN13" i="2"/>
  <c r="F13" i="2"/>
  <c r="G13" i="2"/>
  <c r="H13" i="2"/>
  <c r="I13" i="2"/>
  <c r="J13" i="2"/>
  <c r="K13" i="2"/>
  <c r="C13" i="2"/>
  <c r="A13" i="2"/>
  <c r="CL14" i="2"/>
  <c r="CM14" i="2"/>
  <c r="CN14" i="2"/>
  <c r="CK14" i="2"/>
  <c r="B14" i="2"/>
  <c r="N14" i="2"/>
  <c r="E14" i="2"/>
  <c r="AB14" i="2"/>
  <c r="AC14" i="2"/>
  <c r="AD14" i="2"/>
  <c r="AK14" i="2"/>
  <c r="AI14" i="2"/>
  <c r="AJ14" i="2"/>
  <c r="AN14" i="2"/>
  <c r="F14" i="2"/>
  <c r="G14" i="2"/>
  <c r="H14" i="2"/>
  <c r="I14" i="2"/>
  <c r="J14" i="2"/>
  <c r="K14" i="2"/>
  <c r="C14" i="2"/>
  <c r="A14" i="2"/>
  <c r="CL15" i="2"/>
  <c r="CM15" i="2"/>
  <c r="CN15" i="2"/>
  <c r="CK15" i="2"/>
  <c r="B15" i="2"/>
  <c r="N15" i="2"/>
  <c r="E15" i="2"/>
  <c r="AB15" i="2"/>
  <c r="AC15" i="2"/>
  <c r="AD15" i="2"/>
  <c r="AK15" i="2"/>
  <c r="AI15" i="2"/>
  <c r="AJ15" i="2"/>
  <c r="AN15" i="2"/>
  <c r="F15" i="2"/>
  <c r="G15" i="2"/>
  <c r="H15" i="2"/>
  <c r="I15" i="2"/>
  <c r="J15" i="2"/>
  <c r="K15" i="2"/>
  <c r="C15" i="2"/>
  <c r="A15" i="2"/>
  <c r="CL16" i="2"/>
  <c r="CM16" i="2"/>
  <c r="CN16" i="2"/>
  <c r="CK16" i="2"/>
  <c r="B16" i="2"/>
  <c r="N16" i="2"/>
  <c r="E16" i="2"/>
  <c r="AB16" i="2"/>
  <c r="AC16" i="2"/>
  <c r="AD16" i="2"/>
  <c r="AK16" i="2"/>
  <c r="AI16" i="2"/>
  <c r="AJ16" i="2"/>
  <c r="AN16" i="2"/>
  <c r="F16" i="2"/>
  <c r="G16" i="2"/>
  <c r="H16" i="2"/>
  <c r="I16" i="2"/>
  <c r="J16" i="2"/>
  <c r="K16" i="2"/>
  <c r="C16" i="2"/>
  <c r="A16" i="2"/>
  <c r="CL18" i="2"/>
  <c r="CM18" i="2"/>
  <c r="CN18" i="2"/>
  <c r="CK18" i="2"/>
  <c r="B18" i="2"/>
  <c r="N18" i="2"/>
  <c r="E18" i="2"/>
  <c r="AB18" i="2"/>
  <c r="AC18" i="2"/>
  <c r="AD18" i="2"/>
  <c r="AK18" i="2"/>
  <c r="AI18" i="2"/>
  <c r="AJ18" i="2"/>
  <c r="AN18" i="2"/>
  <c r="F18" i="2"/>
  <c r="G18" i="2"/>
  <c r="H18" i="2"/>
  <c r="I18" i="2"/>
  <c r="J18" i="2"/>
  <c r="K18" i="2"/>
  <c r="C18" i="2"/>
  <c r="A18" i="2"/>
  <c r="CL19" i="2"/>
  <c r="CM19" i="2"/>
  <c r="CN19" i="2"/>
  <c r="CK19" i="2"/>
  <c r="B19" i="2"/>
  <c r="N19" i="2"/>
  <c r="E19" i="2"/>
  <c r="AB19" i="2"/>
  <c r="AC19" i="2"/>
  <c r="AD19" i="2"/>
  <c r="AK19" i="2"/>
  <c r="AI19" i="2"/>
  <c r="AJ19" i="2"/>
  <c r="AN19" i="2"/>
  <c r="F19" i="2"/>
  <c r="G19" i="2"/>
  <c r="H19" i="2"/>
  <c r="I19" i="2"/>
  <c r="J19" i="2"/>
  <c r="K19" i="2"/>
  <c r="C19" i="2"/>
  <c r="A19" i="2"/>
  <c r="CL20" i="2"/>
  <c r="CM20" i="2"/>
  <c r="CN20" i="2"/>
  <c r="CK20" i="2"/>
  <c r="B20" i="2"/>
  <c r="N20" i="2"/>
  <c r="E20" i="2"/>
  <c r="AB20" i="2"/>
  <c r="AC20" i="2"/>
  <c r="AD20" i="2"/>
  <c r="AK20" i="2"/>
  <c r="AI20" i="2"/>
  <c r="AJ20" i="2"/>
  <c r="AN20" i="2"/>
  <c r="F20" i="2"/>
  <c r="G20" i="2"/>
  <c r="H20" i="2"/>
  <c r="I20" i="2"/>
  <c r="J20" i="2"/>
  <c r="K20" i="2"/>
  <c r="C20" i="2"/>
  <c r="A20" i="2"/>
  <c r="CL21" i="2"/>
  <c r="CM21" i="2"/>
  <c r="CN21" i="2"/>
  <c r="CK21" i="2"/>
  <c r="B21" i="2"/>
  <c r="N21" i="2"/>
  <c r="E21" i="2"/>
  <c r="AB21" i="2"/>
  <c r="AC21" i="2"/>
  <c r="AD21" i="2"/>
  <c r="AK21" i="2"/>
  <c r="AI21" i="2"/>
  <c r="AJ21" i="2"/>
  <c r="AN21" i="2"/>
  <c r="F21" i="2"/>
  <c r="G21" i="2"/>
  <c r="H21" i="2"/>
  <c r="I21" i="2"/>
  <c r="J21" i="2"/>
  <c r="K21" i="2"/>
  <c r="C21" i="2"/>
  <c r="A21" i="2"/>
  <c r="CL22" i="2"/>
  <c r="CM22" i="2"/>
  <c r="CN22" i="2"/>
  <c r="CK22" i="2"/>
  <c r="B22" i="2"/>
  <c r="N22" i="2"/>
  <c r="E22" i="2"/>
  <c r="AB22" i="2"/>
  <c r="AC22" i="2"/>
  <c r="AD22" i="2"/>
  <c r="AK22" i="2"/>
  <c r="AI22" i="2"/>
  <c r="AJ22" i="2"/>
  <c r="AN22" i="2"/>
  <c r="F22" i="2"/>
  <c r="G22" i="2"/>
  <c r="H22" i="2"/>
  <c r="I22" i="2"/>
  <c r="J22" i="2"/>
  <c r="K22" i="2"/>
  <c r="C22" i="2"/>
  <c r="A22" i="2"/>
  <c r="CL23" i="2"/>
  <c r="CM23" i="2"/>
  <c r="CN23" i="2"/>
  <c r="CK23" i="2"/>
  <c r="B23" i="2"/>
  <c r="N23" i="2"/>
  <c r="E23" i="2"/>
  <c r="AB23" i="2"/>
  <c r="AC23" i="2"/>
  <c r="AD23" i="2"/>
  <c r="AK23" i="2"/>
  <c r="AI23" i="2"/>
  <c r="AJ23" i="2"/>
  <c r="AN23" i="2"/>
  <c r="F23" i="2"/>
  <c r="G23" i="2"/>
  <c r="H23" i="2"/>
  <c r="I23" i="2"/>
  <c r="J23" i="2"/>
  <c r="K23" i="2"/>
  <c r="C23" i="2"/>
  <c r="A23" i="2"/>
  <c r="CL24" i="2"/>
  <c r="CM24" i="2"/>
  <c r="CN24" i="2"/>
  <c r="CK24" i="2"/>
  <c r="B24" i="2"/>
  <c r="C24" i="2"/>
  <c r="A24" i="2"/>
  <c r="CL26" i="2"/>
  <c r="CM26" i="2"/>
  <c r="CN26" i="2"/>
  <c r="CK26" i="2"/>
  <c r="B26" i="2"/>
  <c r="C26" i="2"/>
  <c r="A26" i="2"/>
  <c r="CL27" i="2"/>
  <c r="CM27" i="2"/>
  <c r="CN27" i="2"/>
  <c r="CK27" i="2"/>
  <c r="B27" i="2"/>
  <c r="N27" i="2"/>
  <c r="E27" i="2"/>
  <c r="AB27" i="2"/>
  <c r="AC27" i="2"/>
  <c r="AD27" i="2"/>
  <c r="AK27" i="2"/>
  <c r="AI27" i="2"/>
  <c r="AJ27" i="2"/>
  <c r="AN27" i="2"/>
  <c r="F27" i="2"/>
  <c r="G27" i="2"/>
  <c r="H27" i="2"/>
  <c r="I27" i="2"/>
  <c r="J27" i="2"/>
  <c r="K27" i="2"/>
  <c r="C27" i="2"/>
  <c r="A27" i="2"/>
  <c r="CL29" i="2"/>
  <c r="CM29" i="2"/>
  <c r="CN29" i="2"/>
  <c r="CK29" i="2"/>
  <c r="B29" i="2"/>
  <c r="C29" i="2"/>
  <c r="A29" i="2"/>
  <c r="CL30" i="2"/>
  <c r="CM30" i="2"/>
  <c r="CN30" i="2"/>
  <c r="CK30" i="2"/>
  <c r="B30" i="2"/>
  <c r="N30" i="2"/>
  <c r="E30" i="2"/>
  <c r="AB30" i="2"/>
  <c r="AC30" i="2"/>
  <c r="AD30" i="2"/>
  <c r="AK30" i="2"/>
  <c r="AI30" i="2"/>
  <c r="AJ30" i="2"/>
  <c r="AN30" i="2"/>
  <c r="F30" i="2"/>
  <c r="G30" i="2"/>
  <c r="H30" i="2"/>
  <c r="I30" i="2"/>
  <c r="J30" i="2"/>
  <c r="K30" i="2"/>
  <c r="C30" i="2"/>
  <c r="A30" i="2"/>
  <c r="CL31" i="2"/>
  <c r="CM31" i="2"/>
  <c r="CN31" i="2"/>
  <c r="CK31" i="2"/>
  <c r="B31" i="2"/>
  <c r="N31" i="2"/>
  <c r="E31" i="2"/>
  <c r="AB31" i="2"/>
  <c r="AC31" i="2"/>
  <c r="AD31" i="2"/>
  <c r="AK31" i="2"/>
  <c r="AI31" i="2"/>
  <c r="AJ31" i="2"/>
  <c r="AN31" i="2"/>
  <c r="F31" i="2"/>
  <c r="G31" i="2"/>
  <c r="H31" i="2"/>
  <c r="I31" i="2"/>
  <c r="J31" i="2"/>
  <c r="K31" i="2"/>
  <c r="C31" i="2"/>
  <c r="A31" i="2"/>
  <c r="CL32" i="2"/>
  <c r="CM32" i="2"/>
  <c r="CN32" i="2"/>
  <c r="CK32" i="2"/>
  <c r="B32" i="2"/>
  <c r="C32" i="2"/>
  <c r="A32" i="2"/>
  <c r="CL33" i="2"/>
  <c r="CM33" i="2"/>
  <c r="CN33" i="2"/>
  <c r="CK33" i="2"/>
  <c r="B33" i="2"/>
  <c r="C33" i="2"/>
  <c r="A33" i="2"/>
  <c r="CL34" i="2"/>
  <c r="CM34" i="2"/>
  <c r="CN34" i="2"/>
  <c r="CK34" i="2"/>
  <c r="B34" i="2"/>
  <c r="N34" i="2"/>
  <c r="E34" i="2"/>
  <c r="AB34" i="2"/>
  <c r="AC34" i="2"/>
  <c r="AD34" i="2"/>
  <c r="AK34" i="2"/>
  <c r="AI34" i="2"/>
  <c r="AJ34" i="2"/>
  <c r="AN34" i="2"/>
  <c r="F34" i="2"/>
  <c r="G34" i="2"/>
  <c r="H34" i="2"/>
  <c r="I34" i="2"/>
  <c r="J34" i="2"/>
  <c r="K34" i="2"/>
  <c r="C34" i="2"/>
  <c r="A34" i="2"/>
  <c r="CL35" i="2"/>
  <c r="CM35" i="2"/>
  <c r="CN35" i="2"/>
  <c r="CK35" i="2"/>
  <c r="B35" i="2"/>
  <c r="C35" i="2"/>
  <c r="A35" i="2"/>
  <c r="CL36" i="2"/>
  <c r="CM36" i="2"/>
  <c r="CN36" i="2"/>
  <c r="CK36" i="2"/>
  <c r="B36" i="2"/>
  <c r="N36" i="2"/>
  <c r="E36" i="2"/>
  <c r="AB36" i="2"/>
  <c r="AC36" i="2"/>
  <c r="AD36" i="2"/>
  <c r="AK36" i="2"/>
  <c r="AI36" i="2"/>
  <c r="AJ36" i="2"/>
  <c r="AN36" i="2"/>
  <c r="F36" i="2"/>
  <c r="G36" i="2"/>
  <c r="H36" i="2"/>
  <c r="I36" i="2"/>
  <c r="J36" i="2"/>
  <c r="K36" i="2"/>
  <c r="C36" i="2"/>
  <c r="A36" i="2"/>
  <c r="CL37" i="2"/>
  <c r="CM37" i="2"/>
  <c r="CN37" i="2"/>
  <c r="CK37" i="2"/>
  <c r="B37" i="2"/>
  <c r="C37" i="2"/>
  <c r="A37" i="2"/>
  <c r="CL38" i="2"/>
  <c r="CM38" i="2"/>
  <c r="CN38" i="2"/>
  <c r="CK38" i="2"/>
  <c r="B38" i="2"/>
  <c r="C38" i="2"/>
  <c r="A38" i="2"/>
  <c r="CL39" i="2"/>
  <c r="CM39" i="2"/>
  <c r="CN39" i="2"/>
  <c r="CK39" i="2"/>
  <c r="B39" i="2"/>
  <c r="C39" i="2"/>
  <c r="A39" i="2"/>
  <c r="CL40" i="2"/>
  <c r="CM40" i="2"/>
  <c r="CN40" i="2"/>
  <c r="CK40" i="2"/>
  <c r="B40" i="2"/>
  <c r="N40" i="2"/>
  <c r="E40" i="2"/>
  <c r="AB40" i="2"/>
  <c r="AC40" i="2"/>
  <c r="AD40" i="2"/>
  <c r="AK40" i="2"/>
  <c r="AI40" i="2"/>
  <c r="AJ40" i="2"/>
  <c r="AN40" i="2"/>
  <c r="F40" i="2"/>
  <c r="G40" i="2"/>
  <c r="H40" i="2"/>
  <c r="I40" i="2"/>
  <c r="J40" i="2"/>
  <c r="K40" i="2"/>
  <c r="C40" i="2"/>
  <c r="A40" i="2"/>
  <c r="CL42" i="2"/>
  <c r="CM42" i="2"/>
  <c r="CN42" i="2"/>
  <c r="CK42" i="2"/>
  <c r="B42" i="2"/>
  <c r="N42" i="2"/>
  <c r="E42" i="2"/>
  <c r="AB42" i="2"/>
  <c r="AC42" i="2"/>
  <c r="AD42" i="2"/>
  <c r="AK42" i="2"/>
  <c r="AI42" i="2"/>
  <c r="AJ42" i="2"/>
  <c r="AN42" i="2"/>
  <c r="F42" i="2"/>
  <c r="G42" i="2"/>
  <c r="H42" i="2"/>
  <c r="I42" i="2"/>
  <c r="J42" i="2"/>
  <c r="K42" i="2"/>
  <c r="C42" i="2"/>
  <c r="A42" i="2"/>
  <c r="CL43" i="2"/>
  <c r="CM43" i="2"/>
  <c r="CN43" i="2"/>
  <c r="CK43" i="2"/>
  <c r="B43" i="2"/>
  <c r="N43" i="2"/>
  <c r="E43" i="2"/>
  <c r="AB43" i="2"/>
  <c r="AC43" i="2"/>
  <c r="AD43" i="2"/>
  <c r="AK43" i="2"/>
  <c r="AI43" i="2"/>
  <c r="AJ43" i="2"/>
  <c r="AN43" i="2"/>
  <c r="F43" i="2"/>
  <c r="G43" i="2"/>
  <c r="H43" i="2"/>
  <c r="I43" i="2"/>
  <c r="J43" i="2"/>
  <c r="K43" i="2"/>
  <c r="C43" i="2"/>
  <c r="A43" i="2"/>
  <c r="CL44" i="2"/>
  <c r="CM44" i="2"/>
  <c r="CN44" i="2"/>
  <c r="CK44" i="2"/>
  <c r="B44" i="2"/>
  <c r="N44" i="2"/>
  <c r="E44" i="2"/>
  <c r="AB44" i="2"/>
  <c r="AC44" i="2"/>
  <c r="AD44" i="2"/>
  <c r="AK44" i="2"/>
  <c r="AI44" i="2"/>
  <c r="AJ44" i="2"/>
  <c r="AN44" i="2"/>
  <c r="F44" i="2"/>
  <c r="G44" i="2"/>
  <c r="H44" i="2"/>
  <c r="I44" i="2"/>
  <c r="J44" i="2"/>
  <c r="K44" i="2"/>
  <c r="C44" i="2"/>
  <c r="A44" i="2"/>
  <c r="CL45" i="2"/>
  <c r="CM45" i="2"/>
  <c r="CN45" i="2"/>
  <c r="CK45" i="2"/>
  <c r="B45" i="2"/>
  <c r="N45" i="2"/>
  <c r="E45" i="2"/>
  <c r="AB45" i="2"/>
  <c r="AC45" i="2"/>
  <c r="AD45" i="2"/>
  <c r="AK45" i="2"/>
  <c r="AI45" i="2"/>
  <c r="AJ45" i="2"/>
  <c r="AN45" i="2"/>
  <c r="F45" i="2"/>
  <c r="G45" i="2"/>
  <c r="H45" i="2"/>
  <c r="I45" i="2"/>
  <c r="J45" i="2"/>
  <c r="K45" i="2"/>
  <c r="C45" i="2"/>
  <c r="A45" i="2"/>
  <c r="CL46" i="2"/>
  <c r="CM46" i="2"/>
  <c r="CN46" i="2"/>
  <c r="CK46" i="2"/>
  <c r="B46" i="2"/>
  <c r="N46" i="2"/>
  <c r="E46" i="2"/>
  <c r="AB46" i="2"/>
  <c r="AC46" i="2"/>
  <c r="AD46" i="2"/>
  <c r="AK46" i="2"/>
  <c r="AI46" i="2"/>
  <c r="AJ46" i="2"/>
  <c r="AN46" i="2"/>
  <c r="F46" i="2"/>
  <c r="G46" i="2"/>
  <c r="H46" i="2"/>
  <c r="I46" i="2"/>
  <c r="J46" i="2"/>
  <c r="K46" i="2"/>
  <c r="C46" i="2"/>
  <c r="A46" i="2"/>
  <c r="CL47" i="2"/>
  <c r="CM47" i="2"/>
  <c r="CN47" i="2"/>
  <c r="CK47" i="2"/>
  <c r="B47" i="2"/>
  <c r="C47" i="2"/>
  <c r="A47" i="2"/>
  <c r="CL48" i="2"/>
  <c r="CM48" i="2"/>
  <c r="CN48" i="2"/>
  <c r="CK48" i="2"/>
  <c r="B48" i="2"/>
  <c r="N48" i="2"/>
  <c r="E48" i="2"/>
  <c r="AB48" i="2"/>
  <c r="AC48" i="2"/>
  <c r="AD48" i="2"/>
  <c r="AK48" i="2"/>
  <c r="AI48" i="2"/>
  <c r="AJ48" i="2"/>
  <c r="AN48" i="2"/>
  <c r="F48" i="2"/>
  <c r="G48" i="2"/>
  <c r="H48" i="2"/>
  <c r="I48" i="2"/>
  <c r="J48" i="2"/>
  <c r="K48" i="2"/>
  <c r="C48" i="2"/>
  <c r="A48" i="2"/>
  <c r="CL49" i="2"/>
  <c r="CM49" i="2"/>
  <c r="CN49" i="2"/>
  <c r="CK49" i="2"/>
  <c r="B49" i="2"/>
  <c r="N49" i="2"/>
  <c r="E49" i="2"/>
  <c r="AB49" i="2"/>
  <c r="AC49" i="2"/>
  <c r="AD49" i="2"/>
  <c r="AK49" i="2"/>
  <c r="AI49" i="2"/>
  <c r="AJ49" i="2"/>
  <c r="AN49" i="2"/>
  <c r="F49" i="2"/>
  <c r="G49" i="2"/>
  <c r="H49" i="2"/>
  <c r="I49" i="2"/>
  <c r="J49" i="2"/>
  <c r="K49" i="2"/>
  <c r="C49" i="2"/>
  <c r="A49" i="2"/>
  <c r="CL50" i="2"/>
  <c r="CM50" i="2"/>
  <c r="CN50" i="2"/>
  <c r="CK50" i="2"/>
  <c r="B50" i="2"/>
  <c r="C50" i="2"/>
  <c r="A50" i="2"/>
  <c r="CL51" i="2"/>
  <c r="CM51" i="2"/>
  <c r="CN51" i="2"/>
  <c r="CK51" i="2"/>
  <c r="B51" i="2"/>
  <c r="N51" i="2"/>
  <c r="E51" i="2"/>
  <c r="AB51" i="2"/>
  <c r="AC51" i="2"/>
  <c r="AD51" i="2"/>
  <c r="AK51" i="2"/>
  <c r="AI51" i="2"/>
  <c r="AJ51" i="2"/>
  <c r="AN51" i="2"/>
  <c r="F51" i="2"/>
  <c r="G51" i="2"/>
  <c r="H51" i="2"/>
  <c r="I51" i="2"/>
  <c r="J51" i="2"/>
  <c r="K51" i="2"/>
  <c r="C51" i="2"/>
  <c r="A51" i="2"/>
  <c r="CL52" i="2"/>
  <c r="CM52" i="2"/>
  <c r="CN52" i="2"/>
  <c r="CK52" i="2"/>
  <c r="B52" i="2"/>
  <c r="C52" i="2"/>
  <c r="A52" i="2"/>
  <c r="CL53" i="2"/>
  <c r="CM53" i="2"/>
  <c r="CN53" i="2"/>
  <c r="CK53" i="2"/>
  <c r="B53" i="2"/>
  <c r="N53" i="2"/>
  <c r="E53" i="2"/>
  <c r="AB53" i="2"/>
  <c r="AC53" i="2"/>
  <c r="AD53" i="2"/>
  <c r="AK53" i="2"/>
  <c r="AI53" i="2"/>
  <c r="AJ53" i="2"/>
  <c r="AN53" i="2"/>
  <c r="F53" i="2"/>
  <c r="G53" i="2"/>
  <c r="H53" i="2"/>
  <c r="I53" i="2"/>
  <c r="J53" i="2"/>
  <c r="K53" i="2"/>
  <c r="C53" i="2"/>
  <c r="A53" i="2"/>
  <c r="I54" i="2"/>
  <c r="CL54" i="2"/>
  <c r="CM54" i="2"/>
  <c r="CN54" i="2"/>
  <c r="CK54" i="2"/>
  <c r="B54" i="2"/>
  <c r="N54" i="2"/>
  <c r="E54" i="2"/>
  <c r="AB54" i="2"/>
  <c r="AC54" i="2"/>
  <c r="AD54" i="2"/>
  <c r="AK54" i="2"/>
  <c r="AI54" i="2"/>
  <c r="AJ54" i="2"/>
  <c r="AN54" i="2"/>
  <c r="F54" i="2"/>
  <c r="G54" i="2"/>
  <c r="H54" i="2"/>
  <c r="J54" i="2"/>
  <c r="K54" i="2"/>
  <c r="C54" i="2"/>
  <c r="A54" i="2"/>
  <c r="CL55" i="2"/>
  <c r="CM55" i="2"/>
  <c r="CN55" i="2"/>
  <c r="CK55" i="2"/>
  <c r="B55" i="2"/>
  <c r="C55" i="2"/>
  <c r="A55" i="2"/>
  <c r="CL56" i="2"/>
  <c r="CM56" i="2"/>
  <c r="CN56" i="2"/>
  <c r="CK56" i="2"/>
  <c r="B56" i="2"/>
  <c r="C56" i="2"/>
  <c r="A56" i="2"/>
  <c r="CL57" i="2"/>
  <c r="CM57" i="2"/>
  <c r="CN57" i="2"/>
  <c r="CK57" i="2"/>
  <c r="B57" i="2"/>
  <c r="N57" i="2"/>
  <c r="E57" i="2"/>
  <c r="AB57" i="2"/>
  <c r="AC57" i="2"/>
  <c r="AD57" i="2"/>
  <c r="AK57" i="2"/>
  <c r="AI57" i="2"/>
  <c r="AJ57" i="2"/>
  <c r="AN57" i="2"/>
  <c r="F57" i="2"/>
  <c r="G57" i="2"/>
  <c r="H57" i="2"/>
  <c r="I57" i="2"/>
  <c r="J57" i="2"/>
  <c r="K57" i="2"/>
  <c r="C57" i="2"/>
  <c r="A57" i="2"/>
  <c r="CL58" i="2"/>
  <c r="CM58" i="2"/>
  <c r="CN58" i="2"/>
  <c r="CK58" i="2"/>
  <c r="B58" i="2"/>
  <c r="N58" i="2"/>
  <c r="E58" i="2"/>
  <c r="AB58" i="2"/>
  <c r="AC58" i="2"/>
  <c r="AD58" i="2"/>
  <c r="AK58" i="2"/>
  <c r="AI58" i="2"/>
  <c r="AJ58" i="2"/>
  <c r="AN58" i="2"/>
  <c r="F58" i="2"/>
  <c r="G58" i="2"/>
  <c r="H58" i="2"/>
  <c r="I58" i="2"/>
  <c r="J58" i="2"/>
  <c r="K58" i="2"/>
  <c r="C58" i="2"/>
  <c r="A58" i="2"/>
  <c r="CL59" i="2"/>
  <c r="CM59" i="2"/>
  <c r="CN59" i="2"/>
  <c r="CK59" i="2"/>
  <c r="B59" i="2"/>
  <c r="N59" i="2"/>
  <c r="E59" i="2"/>
  <c r="AB59" i="2"/>
  <c r="AC59" i="2"/>
  <c r="AD59" i="2"/>
  <c r="AK59" i="2"/>
  <c r="AI59" i="2"/>
  <c r="AJ59" i="2"/>
  <c r="AN59" i="2"/>
  <c r="F59" i="2"/>
  <c r="G59" i="2"/>
  <c r="H59" i="2"/>
  <c r="I59" i="2"/>
  <c r="J59" i="2"/>
  <c r="K59" i="2"/>
  <c r="C59" i="2"/>
  <c r="A59" i="2"/>
  <c r="CL60" i="2"/>
  <c r="CM60" i="2"/>
  <c r="CN60" i="2"/>
  <c r="CK60" i="2"/>
  <c r="B60" i="2"/>
  <c r="C60" i="2"/>
  <c r="A60" i="2"/>
  <c r="CL61" i="2"/>
  <c r="CM61" i="2"/>
  <c r="CN61" i="2"/>
  <c r="CK61" i="2"/>
  <c r="B61" i="2"/>
  <c r="C61" i="2"/>
  <c r="A61" i="2"/>
  <c r="CL62" i="2"/>
  <c r="CM62" i="2"/>
  <c r="CN62" i="2"/>
  <c r="CK62" i="2"/>
  <c r="B62" i="2"/>
  <c r="N62" i="2"/>
  <c r="E62" i="2"/>
  <c r="AB62" i="2"/>
  <c r="AC62" i="2"/>
  <c r="AD62" i="2"/>
  <c r="AK62" i="2"/>
  <c r="AI62" i="2"/>
  <c r="AJ62" i="2"/>
  <c r="AN62" i="2"/>
  <c r="F62" i="2"/>
  <c r="G62" i="2"/>
  <c r="H62" i="2"/>
  <c r="I62" i="2"/>
  <c r="J62" i="2"/>
  <c r="K62" i="2"/>
  <c r="C62" i="2"/>
  <c r="A62" i="2"/>
  <c r="CL63" i="2"/>
  <c r="CM63" i="2"/>
  <c r="CN63" i="2"/>
  <c r="CK63" i="2"/>
  <c r="B63" i="2"/>
  <c r="N63" i="2"/>
  <c r="E63" i="2"/>
  <c r="AB63" i="2"/>
  <c r="AC63" i="2"/>
  <c r="AD63" i="2"/>
  <c r="AK63" i="2"/>
  <c r="AI63" i="2"/>
  <c r="AJ63" i="2"/>
  <c r="AN63" i="2"/>
  <c r="F63" i="2"/>
  <c r="G63" i="2"/>
  <c r="H63" i="2"/>
  <c r="I63" i="2"/>
  <c r="J63" i="2"/>
  <c r="K63" i="2"/>
  <c r="C63" i="2"/>
  <c r="A63" i="2"/>
  <c r="CL64" i="2"/>
  <c r="CM64" i="2"/>
  <c r="CN64" i="2"/>
  <c r="CK64" i="2"/>
  <c r="B64" i="2"/>
  <c r="C64" i="2"/>
  <c r="A64" i="2"/>
  <c r="CL65" i="2"/>
  <c r="CM65" i="2"/>
  <c r="CN65" i="2"/>
  <c r="CK65" i="2"/>
  <c r="B65" i="2"/>
  <c r="N65" i="2"/>
  <c r="E65" i="2"/>
  <c r="AB65" i="2"/>
  <c r="AC65" i="2"/>
  <c r="AD65" i="2"/>
  <c r="AK65" i="2"/>
  <c r="AI65" i="2"/>
  <c r="AJ65" i="2"/>
  <c r="AN65" i="2"/>
  <c r="F65" i="2"/>
  <c r="G65" i="2"/>
  <c r="H65" i="2"/>
  <c r="I65" i="2"/>
  <c r="J65" i="2"/>
  <c r="K65" i="2"/>
  <c r="C65" i="2"/>
  <c r="A65" i="2"/>
  <c r="CL66" i="2"/>
  <c r="CM66" i="2"/>
  <c r="CN66" i="2"/>
  <c r="CK66" i="2"/>
  <c r="B66" i="2"/>
  <c r="N66" i="2"/>
  <c r="E66" i="2"/>
  <c r="AB66" i="2"/>
  <c r="AC66" i="2"/>
  <c r="AD66" i="2"/>
  <c r="AK66" i="2"/>
  <c r="AI66" i="2"/>
  <c r="AJ66" i="2"/>
  <c r="AN66" i="2"/>
  <c r="F66" i="2"/>
  <c r="G66" i="2"/>
  <c r="H66" i="2"/>
  <c r="I66" i="2"/>
  <c r="J66" i="2"/>
  <c r="K66" i="2"/>
  <c r="C66" i="2"/>
  <c r="A66" i="2"/>
  <c r="CL67" i="2"/>
  <c r="CM67" i="2"/>
  <c r="CN67" i="2"/>
  <c r="CK67" i="2"/>
  <c r="B67" i="2"/>
  <c r="C67" i="2"/>
  <c r="A67" i="2"/>
  <c r="CL68" i="2"/>
  <c r="CM68" i="2"/>
  <c r="CN68" i="2"/>
  <c r="CK68" i="2"/>
  <c r="B68" i="2"/>
  <c r="N68" i="2"/>
  <c r="E68" i="2"/>
  <c r="AB68" i="2"/>
  <c r="AC68" i="2"/>
  <c r="AD68" i="2"/>
  <c r="AK68" i="2"/>
  <c r="AI68" i="2"/>
  <c r="AJ68" i="2"/>
  <c r="AN68" i="2"/>
  <c r="F68" i="2"/>
  <c r="G68" i="2"/>
  <c r="H68" i="2"/>
  <c r="I68" i="2"/>
  <c r="J68" i="2"/>
  <c r="K68" i="2"/>
  <c r="C68" i="2"/>
  <c r="A68" i="2"/>
  <c r="CL69" i="2"/>
  <c r="CM69" i="2"/>
  <c r="CN69" i="2"/>
  <c r="CK69" i="2"/>
  <c r="B69" i="2"/>
  <c r="N69" i="2"/>
  <c r="E69" i="2"/>
  <c r="AB69" i="2"/>
  <c r="AC69" i="2"/>
  <c r="AD69" i="2"/>
  <c r="AK69" i="2"/>
  <c r="AI69" i="2"/>
  <c r="AJ69" i="2"/>
  <c r="AN69" i="2"/>
  <c r="F69" i="2"/>
  <c r="G69" i="2"/>
  <c r="H69" i="2"/>
  <c r="I69" i="2"/>
  <c r="J69" i="2"/>
  <c r="K69" i="2"/>
  <c r="C69" i="2"/>
  <c r="A69" i="2"/>
  <c r="CL70" i="2"/>
  <c r="CM70" i="2"/>
  <c r="CN70" i="2"/>
  <c r="CK70" i="2"/>
  <c r="B70" i="2"/>
  <c r="N70" i="2"/>
  <c r="E70" i="2"/>
  <c r="AB70" i="2"/>
  <c r="AC70" i="2"/>
  <c r="AD70" i="2"/>
  <c r="AK70" i="2"/>
  <c r="AI70" i="2"/>
  <c r="AJ70" i="2"/>
  <c r="AN70" i="2"/>
  <c r="F70" i="2"/>
  <c r="G70" i="2"/>
  <c r="H70" i="2"/>
  <c r="I70" i="2"/>
  <c r="J70" i="2"/>
  <c r="K70" i="2"/>
  <c r="C70" i="2"/>
  <c r="A70" i="2"/>
  <c r="CL71" i="2"/>
  <c r="CM71" i="2"/>
  <c r="CN71" i="2"/>
  <c r="CK71" i="2"/>
  <c r="B71" i="2"/>
  <c r="C71" i="2"/>
  <c r="A71" i="2"/>
  <c r="CL72" i="2"/>
  <c r="CM72" i="2"/>
  <c r="CN72" i="2"/>
  <c r="CK72" i="2"/>
  <c r="B72" i="2"/>
  <c r="N72" i="2"/>
  <c r="E72" i="2"/>
  <c r="AB72" i="2"/>
  <c r="AC72" i="2"/>
  <c r="AD72" i="2"/>
  <c r="AK72" i="2"/>
  <c r="AI72" i="2"/>
  <c r="AJ72" i="2"/>
  <c r="AN72" i="2"/>
  <c r="F72" i="2"/>
  <c r="G72" i="2"/>
  <c r="H72" i="2"/>
  <c r="I72" i="2"/>
  <c r="J72" i="2"/>
  <c r="K72" i="2"/>
  <c r="C72" i="2"/>
  <c r="A72" i="2"/>
  <c r="CL73" i="2"/>
  <c r="CM73" i="2"/>
  <c r="CN73" i="2"/>
  <c r="CK73" i="2"/>
  <c r="B73" i="2"/>
  <c r="C73" i="2"/>
  <c r="A73" i="2"/>
  <c r="CL74" i="2"/>
  <c r="CM74" i="2"/>
  <c r="CN74" i="2"/>
  <c r="CK74" i="2"/>
  <c r="B74" i="2"/>
  <c r="N74" i="2"/>
  <c r="E74" i="2"/>
  <c r="AB74" i="2"/>
  <c r="AC74" i="2"/>
  <c r="AD74" i="2"/>
  <c r="AK74" i="2"/>
  <c r="AI74" i="2"/>
  <c r="AJ74" i="2"/>
  <c r="AN74" i="2"/>
  <c r="F74" i="2"/>
  <c r="G74" i="2"/>
  <c r="H74" i="2"/>
  <c r="I74" i="2"/>
  <c r="J74" i="2"/>
  <c r="K74" i="2"/>
  <c r="C74" i="2"/>
  <c r="A74" i="2"/>
  <c r="CL75" i="2"/>
  <c r="CM75" i="2"/>
  <c r="CN75" i="2"/>
  <c r="CK75" i="2"/>
  <c r="B75" i="2"/>
  <c r="C75" i="2"/>
  <c r="A75" i="2"/>
  <c r="CL76" i="2"/>
  <c r="CM76" i="2"/>
  <c r="CN76" i="2"/>
  <c r="CK76" i="2"/>
  <c r="B76" i="2"/>
  <c r="N76" i="2"/>
  <c r="E76" i="2"/>
  <c r="AB76" i="2"/>
  <c r="AC76" i="2"/>
  <c r="AD76" i="2"/>
  <c r="AK76" i="2"/>
  <c r="AI76" i="2"/>
  <c r="AJ76" i="2"/>
  <c r="AN76" i="2"/>
  <c r="F76" i="2"/>
  <c r="G76" i="2"/>
  <c r="H76" i="2"/>
  <c r="I76" i="2"/>
  <c r="J76" i="2"/>
  <c r="K76" i="2"/>
  <c r="C76" i="2"/>
  <c r="A76" i="2"/>
  <c r="CL77" i="2"/>
  <c r="CM77" i="2"/>
  <c r="CN77" i="2"/>
  <c r="CK77" i="2"/>
  <c r="B77" i="2"/>
  <c r="C77" i="2"/>
  <c r="A77" i="2"/>
  <c r="CL78" i="2"/>
  <c r="CM78" i="2"/>
  <c r="CN78" i="2"/>
  <c r="CK78" i="2"/>
  <c r="B78" i="2"/>
  <c r="N78" i="2"/>
  <c r="E78" i="2"/>
  <c r="AB78" i="2"/>
  <c r="AC78" i="2"/>
  <c r="AD78" i="2"/>
  <c r="AK78" i="2"/>
  <c r="AI78" i="2"/>
  <c r="AJ78" i="2"/>
  <c r="AN78" i="2"/>
  <c r="F78" i="2"/>
  <c r="G78" i="2"/>
  <c r="H78" i="2"/>
  <c r="I78" i="2"/>
  <c r="J78" i="2"/>
  <c r="K78" i="2"/>
  <c r="C78" i="2"/>
  <c r="A78" i="2"/>
  <c r="CL79" i="2"/>
  <c r="CM79" i="2"/>
  <c r="CN79" i="2"/>
  <c r="CK79" i="2"/>
  <c r="B79" i="2"/>
  <c r="N79" i="2"/>
  <c r="E79" i="2"/>
  <c r="AB79" i="2"/>
  <c r="AC79" i="2"/>
  <c r="AD79" i="2"/>
  <c r="AK79" i="2"/>
  <c r="AI79" i="2"/>
  <c r="AJ79" i="2"/>
  <c r="AN79" i="2"/>
  <c r="F79" i="2"/>
  <c r="G79" i="2"/>
  <c r="H79" i="2"/>
  <c r="I79" i="2"/>
  <c r="J79" i="2"/>
  <c r="K79" i="2"/>
  <c r="C79" i="2"/>
  <c r="A79" i="2"/>
  <c r="CL80" i="2"/>
  <c r="CM80" i="2"/>
  <c r="CN80" i="2"/>
  <c r="CK80" i="2"/>
  <c r="B80" i="2"/>
  <c r="C80" i="2"/>
  <c r="A80" i="2"/>
  <c r="CL81" i="2"/>
  <c r="CM81" i="2"/>
  <c r="CN81" i="2"/>
  <c r="CK81" i="2"/>
  <c r="B81" i="2"/>
  <c r="N81" i="2"/>
  <c r="E81" i="2"/>
  <c r="AB81" i="2"/>
  <c r="AC81" i="2"/>
  <c r="AD81" i="2"/>
  <c r="AK81" i="2"/>
  <c r="AI81" i="2"/>
  <c r="AJ81" i="2"/>
  <c r="AN81" i="2"/>
  <c r="F81" i="2"/>
  <c r="G81" i="2"/>
  <c r="H81" i="2"/>
  <c r="I81" i="2"/>
  <c r="J81" i="2"/>
  <c r="K81" i="2"/>
  <c r="C81" i="2"/>
  <c r="A81" i="2"/>
  <c r="CL82" i="2"/>
  <c r="CM82" i="2"/>
  <c r="CN82" i="2"/>
  <c r="CK82" i="2"/>
  <c r="B82" i="2"/>
  <c r="C82" i="2"/>
  <c r="A82" i="2"/>
  <c r="CL83" i="2"/>
  <c r="CM83" i="2"/>
  <c r="CN83" i="2"/>
  <c r="CK83" i="2"/>
  <c r="B83" i="2"/>
  <c r="N83" i="2"/>
  <c r="E83" i="2"/>
  <c r="AB83" i="2"/>
  <c r="AC83" i="2"/>
  <c r="AD83" i="2"/>
  <c r="AK83" i="2"/>
  <c r="AI83" i="2"/>
  <c r="AJ83" i="2"/>
  <c r="AN83" i="2"/>
  <c r="F83" i="2"/>
  <c r="G83" i="2"/>
  <c r="H83" i="2"/>
  <c r="I83" i="2"/>
  <c r="J83" i="2"/>
  <c r="K83" i="2"/>
  <c r="C83" i="2"/>
  <c r="A83" i="2"/>
  <c r="CL84" i="2"/>
  <c r="CM84" i="2"/>
  <c r="CN84" i="2"/>
  <c r="CK84" i="2"/>
  <c r="B84" i="2"/>
  <c r="C84" i="2"/>
  <c r="A84" i="2"/>
  <c r="CL85" i="2"/>
  <c r="CM85" i="2"/>
  <c r="CN85" i="2"/>
  <c r="CK85" i="2"/>
  <c r="B85" i="2"/>
  <c r="N85" i="2"/>
  <c r="E85" i="2"/>
  <c r="AB85" i="2"/>
  <c r="AC85" i="2"/>
  <c r="AD85" i="2"/>
  <c r="AK85" i="2"/>
  <c r="AI85" i="2"/>
  <c r="AJ85" i="2"/>
  <c r="AN85" i="2"/>
  <c r="F85" i="2"/>
  <c r="G85" i="2"/>
  <c r="H85" i="2"/>
  <c r="I85" i="2"/>
  <c r="J85" i="2"/>
  <c r="K85" i="2"/>
  <c r="C85" i="2"/>
  <c r="A85" i="2"/>
  <c r="CL86" i="2"/>
  <c r="CM86" i="2"/>
  <c r="CN86" i="2"/>
  <c r="CK86" i="2"/>
  <c r="B86" i="2"/>
  <c r="N86" i="2"/>
  <c r="E86" i="2"/>
  <c r="AB86" i="2"/>
  <c r="AC86" i="2"/>
  <c r="AD86" i="2"/>
  <c r="AK86" i="2"/>
  <c r="AI86" i="2"/>
  <c r="AJ86" i="2"/>
  <c r="AN86" i="2"/>
  <c r="F86" i="2"/>
  <c r="G86" i="2"/>
  <c r="H86" i="2"/>
  <c r="I86" i="2"/>
  <c r="J86" i="2"/>
  <c r="K86" i="2"/>
  <c r="C86" i="2"/>
  <c r="A86" i="2"/>
  <c r="CL87" i="2"/>
  <c r="CM87" i="2"/>
  <c r="CN87" i="2"/>
  <c r="CK87" i="2"/>
  <c r="B87" i="2"/>
  <c r="N87" i="2"/>
  <c r="E87" i="2"/>
  <c r="AB87" i="2"/>
  <c r="AC87" i="2"/>
  <c r="AD87" i="2"/>
  <c r="AK87" i="2"/>
  <c r="AI87" i="2"/>
  <c r="AJ87" i="2"/>
  <c r="AN87" i="2"/>
  <c r="F87" i="2"/>
  <c r="G87" i="2"/>
  <c r="H87" i="2"/>
  <c r="I87" i="2"/>
  <c r="J87" i="2"/>
  <c r="K87" i="2"/>
  <c r="C87" i="2"/>
  <c r="A87" i="2"/>
  <c r="CL88" i="2"/>
  <c r="CM88" i="2"/>
  <c r="CN88" i="2"/>
  <c r="CK88" i="2"/>
  <c r="B88" i="2"/>
  <c r="C88" i="2"/>
  <c r="A88" i="2"/>
  <c r="CL89" i="2"/>
  <c r="CM89" i="2"/>
  <c r="CN89" i="2"/>
  <c r="CK89" i="2"/>
  <c r="B89" i="2"/>
  <c r="N89" i="2"/>
  <c r="E89" i="2"/>
  <c r="AB89" i="2"/>
  <c r="AC89" i="2"/>
  <c r="AD89" i="2"/>
  <c r="AK89" i="2"/>
  <c r="AI89" i="2"/>
  <c r="AJ89" i="2"/>
  <c r="AN89" i="2"/>
  <c r="F89" i="2"/>
  <c r="G89" i="2"/>
  <c r="H89" i="2"/>
  <c r="I89" i="2"/>
  <c r="J89" i="2"/>
  <c r="K89" i="2"/>
  <c r="C89" i="2"/>
  <c r="A89" i="2"/>
  <c r="CL90" i="2"/>
  <c r="CM90" i="2"/>
  <c r="CN90" i="2"/>
  <c r="CK90" i="2"/>
  <c r="B90" i="2"/>
  <c r="C90" i="2"/>
  <c r="A90" i="2"/>
  <c r="CL91" i="2"/>
  <c r="CM91" i="2"/>
  <c r="CN91" i="2"/>
  <c r="CK91" i="2"/>
  <c r="B91" i="2"/>
  <c r="C91" i="2"/>
  <c r="A91" i="2"/>
  <c r="CL92" i="2"/>
  <c r="CM92" i="2"/>
  <c r="CN92" i="2"/>
  <c r="CK92" i="2"/>
  <c r="B92" i="2"/>
  <c r="N92" i="2"/>
  <c r="E92" i="2"/>
  <c r="AB92" i="2"/>
  <c r="AC92" i="2"/>
  <c r="AD92" i="2"/>
  <c r="AK92" i="2"/>
  <c r="AI92" i="2"/>
  <c r="AJ92" i="2"/>
  <c r="AN92" i="2"/>
  <c r="F92" i="2"/>
  <c r="G92" i="2"/>
  <c r="H92" i="2"/>
  <c r="I92" i="2"/>
  <c r="J92" i="2"/>
  <c r="K92" i="2"/>
  <c r="C92" i="2"/>
  <c r="A92" i="2"/>
  <c r="CL94" i="2"/>
  <c r="CM94" i="2"/>
  <c r="CN94" i="2"/>
  <c r="CK94" i="2"/>
  <c r="B94" i="2"/>
  <c r="N94" i="2"/>
  <c r="E94" i="2"/>
  <c r="AB94" i="2"/>
  <c r="AC94" i="2"/>
  <c r="AD94" i="2"/>
  <c r="AK94" i="2"/>
  <c r="AI94" i="2"/>
  <c r="AJ94" i="2"/>
  <c r="AN94" i="2"/>
  <c r="F94" i="2"/>
  <c r="G94" i="2"/>
  <c r="H94" i="2"/>
  <c r="I94" i="2"/>
  <c r="J94" i="2"/>
  <c r="K94" i="2"/>
  <c r="C94" i="2"/>
  <c r="A94" i="2"/>
  <c r="CL95" i="2"/>
  <c r="CM95" i="2"/>
  <c r="CN95" i="2"/>
  <c r="CK95" i="2"/>
  <c r="B95" i="2"/>
  <c r="N95" i="2"/>
  <c r="E95" i="2"/>
  <c r="AB95" i="2"/>
  <c r="AC95" i="2"/>
  <c r="AD95" i="2"/>
  <c r="AK95" i="2"/>
  <c r="AI95" i="2"/>
  <c r="AJ95" i="2"/>
  <c r="AN95" i="2"/>
  <c r="F95" i="2"/>
  <c r="G95" i="2"/>
  <c r="H95" i="2"/>
  <c r="I95" i="2"/>
  <c r="J95" i="2"/>
  <c r="K95" i="2"/>
  <c r="C95" i="2"/>
  <c r="A95" i="2"/>
  <c r="CL3" i="2"/>
  <c r="CM3" i="2"/>
  <c r="CN3" i="2"/>
  <c r="CK3" i="2"/>
  <c r="B3" i="2"/>
  <c r="C3" i="2"/>
  <c r="A3" i="2"/>
  <c r="CL25" i="2"/>
  <c r="CM25" i="2"/>
  <c r="CN25" i="2"/>
  <c r="CK25" i="2"/>
  <c r="B25" i="2"/>
  <c r="C25" i="2"/>
  <c r="A25" i="2"/>
  <c r="CL28" i="2"/>
  <c r="CM28" i="2"/>
  <c r="CN28" i="2"/>
  <c r="CK28" i="2"/>
  <c r="B28" i="2"/>
  <c r="C28" i="2"/>
  <c r="A28" i="2"/>
  <c r="CL93" i="2"/>
  <c r="CM93" i="2"/>
  <c r="CN93" i="2"/>
  <c r="CK93" i="2"/>
  <c r="B93" i="2"/>
  <c r="C93" i="2"/>
  <c r="A93" i="2"/>
  <c r="CL4" i="2"/>
  <c r="CM4" i="2"/>
  <c r="CN4" i="2"/>
  <c r="CK4" i="2"/>
  <c r="B4" i="2"/>
  <c r="C4" i="2"/>
  <c r="A4" i="2"/>
  <c r="AE3" i="11"/>
  <c r="AE2" i="11"/>
  <c r="N5" i="2"/>
  <c r="N10" i="2"/>
  <c r="N12" i="2"/>
  <c r="N24" i="2"/>
  <c r="N26" i="2"/>
  <c r="N29" i="2"/>
  <c r="N32" i="2"/>
  <c r="N33" i="2"/>
  <c r="N35" i="2"/>
  <c r="N37" i="2"/>
  <c r="N38" i="2"/>
  <c r="N39" i="2"/>
  <c r="N47" i="2"/>
  <c r="N50" i="2"/>
  <c r="N52" i="2"/>
  <c r="N55" i="2"/>
  <c r="N56" i="2"/>
  <c r="N60" i="2"/>
  <c r="N61" i="2"/>
  <c r="N64" i="2"/>
  <c r="N67" i="2"/>
  <c r="N71" i="2"/>
  <c r="N73" i="2"/>
  <c r="N75" i="2"/>
  <c r="N77" i="2"/>
  <c r="N80" i="2"/>
  <c r="N82" i="2"/>
  <c r="N84" i="2"/>
  <c r="N88" i="2"/>
  <c r="N90" i="2"/>
  <c r="N91" i="2"/>
  <c r="N3" i="2"/>
  <c r="N25" i="2"/>
  <c r="N28" i="2"/>
  <c r="N93" i="2"/>
  <c r="N4" i="2"/>
  <c r="AI5" i="2"/>
  <c r="AI10" i="2"/>
  <c r="AI12" i="2"/>
  <c r="AI24" i="2"/>
  <c r="AI26" i="2"/>
  <c r="AI29" i="2"/>
  <c r="AI32" i="2"/>
  <c r="AI33" i="2"/>
  <c r="AI35" i="2"/>
  <c r="AI37" i="2"/>
  <c r="AI38" i="2"/>
  <c r="AI39" i="2"/>
  <c r="AI47" i="2"/>
  <c r="AI50" i="2"/>
  <c r="AI52" i="2"/>
  <c r="AI55" i="2"/>
  <c r="AI56" i="2"/>
  <c r="AI60" i="2"/>
  <c r="AI61" i="2"/>
  <c r="AI64" i="2"/>
  <c r="AI67" i="2"/>
  <c r="AI71" i="2"/>
  <c r="AI73" i="2"/>
  <c r="AI75" i="2"/>
  <c r="AI77" i="2"/>
  <c r="AI80" i="2"/>
  <c r="AI82" i="2"/>
  <c r="AI84" i="2"/>
  <c r="AI88" i="2"/>
  <c r="AI90" i="2"/>
  <c r="AI91" i="2"/>
  <c r="AI3" i="2"/>
  <c r="AI25" i="2"/>
  <c r="AI28" i="2"/>
  <c r="AI93" i="2"/>
  <c r="AI41" i="2"/>
  <c r="AI96" i="2"/>
  <c r="AI97" i="2"/>
  <c r="AI98" i="2"/>
  <c r="AI99" i="2"/>
  <c r="AI4" i="2"/>
  <c r="AJ5" i="2"/>
  <c r="AJ10" i="2"/>
  <c r="AJ12" i="2"/>
  <c r="AJ24" i="2"/>
  <c r="AJ26" i="2"/>
  <c r="AJ29" i="2"/>
  <c r="AJ32" i="2"/>
  <c r="AJ33" i="2"/>
  <c r="AJ35" i="2"/>
  <c r="AJ37" i="2"/>
  <c r="AJ38" i="2"/>
  <c r="AJ39" i="2"/>
  <c r="AJ47" i="2"/>
  <c r="AJ50" i="2"/>
  <c r="AJ52" i="2"/>
  <c r="AJ55" i="2"/>
  <c r="AJ56" i="2"/>
  <c r="AJ60" i="2"/>
  <c r="AJ61" i="2"/>
  <c r="AJ64" i="2"/>
  <c r="AJ67" i="2"/>
  <c r="AJ71" i="2"/>
  <c r="AJ73" i="2"/>
  <c r="AJ75" i="2"/>
  <c r="AJ77" i="2"/>
  <c r="AJ80" i="2"/>
  <c r="AJ82" i="2"/>
  <c r="AJ84" i="2"/>
  <c r="AJ88" i="2"/>
  <c r="AJ90" i="2"/>
  <c r="AJ91" i="2"/>
  <c r="AJ3" i="2"/>
  <c r="AJ25" i="2"/>
  <c r="AJ28" i="2"/>
  <c r="AJ93" i="2"/>
  <c r="AJ41" i="2"/>
  <c r="AJ96" i="2"/>
  <c r="AJ97" i="2"/>
  <c r="AJ98" i="2"/>
  <c r="AJ99" i="2"/>
  <c r="AJ4" i="2"/>
  <c r="AN33" i="2"/>
  <c r="AB33" i="2"/>
  <c r="AC33" i="2"/>
  <c r="AD33" i="2"/>
  <c r="AK33" i="2"/>
  <c r="AN35" i="2"/>
  <c r="AB35" i="2"/>
  <c r="AC35" i="2"/>
  <c r="AD35" i="2"/>
  <c r="AK35" i="2"/>
  <c r="AN39" i="2"/>
  <c r="AB39" i="2"/>
  <c r="AC39" i="2"/>
  <c r="AD39" i="2"/>
  <c r="AK39" i="2"/>
  <c r="AC61" i="2"/>
  <c r="AN61" i="2"/>
  <c r="AB61" i="2"/>
  <c r="AD61" i="2"/>
  <c r="AK61" i="2"/>
  <c r="AC73" i="2"/>
  <c r="AN73" i="2"/>
  <c r="AB73" i="2"/>
  <c r="AD73" i="2"/>
  <c r="AK73" i="2"/>
  <c r="AN75" i="2"/>
  <c r="AB75" i="2"/>
  <c r="AC75" i="2"/>
  <c r="AD75" i="2"/>
  <c r="AK75" i="2"/>
  <c r="AC82" i="2"/>
  <c r="AN82" i="2"/>
  <c r="AB82" i="2"/>
  <c r="AD82" i="2"/>
  <c r="AK82" i="2"/>
  <c r="AN84" i="2"/>
  <c r="AB84" i="2"/>
  <c r="AC84" i="2"/>
  <c r="AD84" i="2"/>
  <c r="AK84" i="2"/>
  <c r="AN4" i="2"/>
  <c r="AB4" i="2"/>
  <c r="AC4" i="2"/>
  <c r="AD4" i="2"/>
  <c r="AK4" i="2"/>
  <c r="AC5" i="2"/>
  <c r="AN5" i="2"/>
  <c r="AN10" i="2"/>
  <c r="AN12" i="2"/>
  <c r="AN24" i="2"/>
  <c r="AC26" i="2"/>
  <c r="AN26" i="2"/>
  <c r="AC29" i="2"/>
  <c r="AN29" i="2"/>
  <c r="AN32" i="2"/>
  <c r="AN37" i="2"/>
  <c r="AC38" i="2"/>
  <c r="AN38" i="2"/>
  <c r="AN47" i="2"/>
  <c r="AC50" i="2"/>
  <c r="AN50" i="2"/>
  <c r="AN52" i="2"/>
  <c r="AC55" i="2"/>
  <c r="AN55" i="2"/>
  <c r="AC56" i="2"/>
  <c r="AN56" i="2"/>
  <c r="AN60" i="2"/>
  <c r="AC64" i="2"/>
  <c r="AN64" i="2"/>
  <c r="AC67" i="2"/>
  <c r="AN67" i="2"/>
  <c r="AN71" i="2"/>
  <c r="AC77" i="2"/>
  <c r="AN77" i="2"/>
  <c r="AC80" i="2"/>
  <c r="AN80" i="2"/>
  <c r="AN88" i="2"/>
  <c r="AN90" i="2"/>
  <c r="AC91" i="2"/>
  <c r="AN91" i="2"/>
  <c r="AN3" i="2"/>
  <c r="AC25" i="2"/>
  <c r="AN25" i="2"/>
  <c r="AN28" i="2"/>
  <c r="AN93" i="2"/>
  <c r="AK5" i="2"/>
  <c r="AK10" i="2"/>
  <c r="AK12" i="2"/>
  <c r="AK24" i="2"/>
  <c r="AK26" i="2"/>
  <c r="AK29" i="2"/>
  <c r="AK32" i="2"/>
  <c r="AK37" i="2"/>
  <c r="AK38" i="2"/>
  <c r="AK47" i="2"/>
  <c r="AK50" i="2"/>
  <c r="AK52" i="2"/>
  <c r="AK55" i="2"/>
  <c r="AK56" i="2"/>
  <c r="AK60" i="2"/>
  <c r="AK64" i="2"/>
  <c r="AK67" i="2"/>
  <c r="AK71" i="2"/>
  <c r="AK77" i="2"/>
  <c r="AK80" i="2"/>
  <c r="AK88" i="2"/>
  <c r="AK90" i="2"/>
  <c r="AK91" i="2"/>
  <c r="AK3" i="2"/>
  <c r="AK25" i="2"/>
  <c r="AK28" i="2"/>
  <c r="AK93" i="2"/>
  <c r="AK41" i="2"/>
  <c r="AD5" i="2"/>
  <c r="AD10" i="2"/>
  <c r="AD12" i="2"/>
  <c r="AD24" i="2"/>
  <c r="AD26" i="2"/>
  <c r="AD29" i="2"/>
  <c r="AD32" i="2"/>
  <c r="AD37" i="2"/>
  <c r="AD38" i="2"/>
  <c r="AD47" i="2"/>
  <c r="AD50" i="2"/>
  <c r="AD52" i="2"/>
  <c r="AD55" i="2"/>
  <c r="AD56" i="2"/>
  <c r="AD60" i="2"/>
  <c r="AD64" i="2"/>
  <c r="AD67" i="2"/>
  <c r="AD71" i="2"/>
  <c r="AD77" i="2"/>
  <c r="AD80" i="2"/>
  <c r="AD88" i="2"/>
  <c r="AD90" i="2"/>
  <c r="AD91" i="2"/>
  <c r="AD3" i="2"/>
  <c r="AD25" i="2"/>
  <c r="AD28" i="2"/>
  <c r="AD93" i="2"/>
  <c r="AC10" i="2"/>
  <c r="AC12" i="2"/>
  <c r="AC24" i="2"/>
  <c r="AC32" i="2"/>
  <c r="AC37" i="2"/>
  <c r="AC47" i="2"/>
  <c r="AC52" i="2"/>
  <c r="AC60" i="2"/>
  <c r="AC71" i="2"/>
  <c r="AC88" i="2"/>
  <c r="AC90" i="2"/>
  <c r="AC3" i="2"/>
  <c r="AC28" i="2"/>
  <c r="AC93" i="2"/>
  <c r="AB5" i="2"/>
  <c r="AB10" i="2"/>
  <c r="AB12" i="2"/>
  <c r="AB24" i="2"/>
  <c r="AB26" i="2"/>
  <c r="AB29" i="2"/>
  <c r="AB32" i="2"/>
  <c r="AB37" i="2"/>
  <c r="AB38" i="2"/>
  <c r="AB47" i="2"/>
  <c r="AB50" i="2"/>
  <c r="AB52" i="2"/>
  <c r="AB55" i="2"/>
  <c r="AB56" i="2"/>
  <c r="AB60" i="2"/>
  <c r="AB64" i="2"/>
  <c r="AB67" i="2"/>
  <c r="AB71" i="2"/>
  <c r="AB77" i="2"/>
  <c r="AB80" i="2"/>
  <c r="AB88" i="2"/>
  <c r="AB90" i="2"/>
  <c r="AB91" i="2"/>
  <c r="AB3" i="2"/>
  <c r="AB25" i="2"/>
  <c r="AB28" i="2"/>
  <c r="AB93" i="2"/>
  <c r="K5" i="2"/>
  <c r="K10" i="2"/>
  <c r="K12" i="2"/>
  <c r="K24" i="2"/>
  <c r="K26" i="2"/>
  <c r="K29" i="2"/>
  <c r="K32" i="2"/>
  <c r="K33" i="2"/>
  <c r="K35" i="2"/>
  <c r="K37" i="2"/>
  <c r="K38" i="2"/>
  <c r="K39" i="2"/>
  <c r="K47" i="2"/>
  <c r="K50" i="2"/>
  <c r="K52" i="2"/>
  <c r="K55" i="2"/>
  <c r="K56" i="2"/>
  <c r="K60" i="2"/>
  <c r="K61" i="2"/>
  <c r="K64" i="2"/>
  <c r="K67" i="2"/>
  <c r="K71" i="2"/>
  <c r="K73" i="2"/>
  <c r="K75" i="2"/>
  <c r="K77" i="2"/>
  <c r="K80" i="2"/>
  <c r="K82" i="2"/>
  <c r="K84" i="2"/>
  <c r="K88" i="2"/>
  <c r="K90" i="2"/>
  <c r="K91" i="2"/>
  <c r="K3" i="2"/>
  <c r="K25" i="2"/>
  <c r="K28" i="2"/>
  <c r="K93" i="2"/>
  <c r="K4" i="2"/>
  <c r="J5" i="2"/>
  <c r="J10" i="2"/>
  <c r="J12" i="2"/>
  <c r="J24" i="2"/>
  <c r="J26" i="2"/>
  <c r="J29" i="2"/>
  <c r="J32" i="2"/>
  <c r="J33" i="2"/>
  <c r="J35" i="2"/>
  <c r="J37" i="2"/>
  <c r="J38" i="2"/>
  <c r="J39" i="2"/>
  <c r="J47" i="2"/>
  <c r="J50" i="2"/>
  <c r="J52" i="2"/>
  <c r="J55" i="2"/>
  <c r="J56" i="2"/>
  <c r="J60" i="2"/>
  <c r="J61" i="2"/>
  <c r="J64" i="2"/>
  <c r="J67" i="2"/>
  <c r="J71" i="2"/>
  <c r="J73" i="2"/>
  <c r="J75" i="2"/>
  <c r="J77" i="2"/>
  <c r="J80" i="2"/>
  <c r="J82" i="2"/>
  <c r="J84" i="2"/>
  <c r="J88" i="2"/>
  <c r="J90" i="2"/>
  <c r="J91" i="2"/>
  <c r="J3" i="2"/>
  <c r="J25" i="2"/>
  <c r="J28" i="2"/>
  <c r="J93" i="2"/>
  <c r="J17" i="2"/>
  <c r="J41" i="2"/>
  <c r="J4" i="2"/>
  <c r="I5" i="2"/>
  <c r="I10" i="2"/>
  <c r="I12" i="2"/>
  <c r="I24" i="2"/>
  <c r="I26" i="2"/>
  <c r="I29" i="2"/>
  <c r="I32" i="2"/>
  <c r="I33" i="2"/>
  <c r="I35" i="2"/>
  <c r="I37" i="2"/>
  <c r="I38" i="2"/>
  <c r="I39" i="2"/>
  <c r="I47" i="2"/>
  <c r="I50" i="2"/>
  <c r="I52" i="2"/>
  <c r="I55" i="2"/>
  <c r="I56" i="2"/>
  <c r="I60" i="2"/>
  <c r="I61" i="2"/>
  <c r="I64" i="2"/>
  <c r="I67" i="2"/>
  <c r="I71" i="2"/>
  <c r="I73" i="2"/>
  <c r="I75" i="2"/>
  <c r="I77" i="2"/>
  <c r="I80" i="2"/>
  <c r="I82" i="2"/>
  <c r="I84" i="2"/>
  <c r="I88" i="2"/>
  <c r="I90" i="2"/>
  <c r="I91" i="2"/>
  <c r="I3" i="2"/>
  <c r="I25" i="2"/>
  <c r="I28" i="2"/>
  <c r="I93" i="2"/>
  <c r="I17" i="2"/>
  <c r="I41" i="2"/>
  <c r="I4" i="2"/>
  <c r="E5" i="2"/>
  <c r="F5" i="2"/>
  <c r="G5" i="2"/>
  <c r="H5" i="2"/>
  <c r="E10" i="2"/>
  <c r="F10" i="2"/>
  <c r="G10" i="2"/>
  <c r="H10" i="2"/>
  <c r="E12" i="2"/>
  <c r="F12" i="2"/>
  <c r="G12" i="2"/>
  <c r="H12" i="2"/>
  <c r="E24" i="2"/>
  <c r="F24" i="2"/>
  <c r="G24" i="2"/>
  <c r="H24" i="2"/>
  <c r="E26" i="2"/>
  <c r="F26" i="2"/>
  <c r="G26" i="2"/>
  <c r="H26" i="2"/>
  <c r="E29" i="2"/>
  <c r="F29" i="2"/>
  <c r="G29" i="2"/>
  <c r="H29" i="2"/>
  <c r="E32" i="2"/>
  <c r="F32" i="2"/>
  <c r="G32" i="2"/>
  <c r="H32" i="2"/>
  <c r="E33" i="2"/>
  <c r="F33" i="2"/>
  <c r="G33" i="2"/>
  <c r="H33" i="2"/>
  <c r="E35" i="2"/>
  <c r="F35" i="2"/>
  <c r="G35" i="2"/>
  <c r="H35" i="2"/>
  <c r="E37" i="2"/>
  <c r="F37" i="2"/>
  <c r="G37" i="2"/>
  <c r="H37" i="2"/>
  <c r="E38" i="2"/>
  <c r="F38" i="2"/>
  <c r="G38" i="2"/>
  <c r="H38" i="2"/>
  <c r="E39" i="2"/>
  <c r="F39" i="2"/>
  <c r="G39" i="2"/>
  <c r="H39" i="2"/>
  <c r="E47" i="2"/>
  <c r="F47" i="2"/>
  <c r="G47" i="2"/>
  <c r="H47" i="2"/>
  <c r="E50" i="2"/>
  <c r="F50" i="2"/>
  <c r="G50" i="2"/>
  <c r="H50" i="2"/>
  <c r="E52" i="2"/>
  <c r="F52" i="2"/>
  <c r="G52" i="2"/>
  <c r="H52" i="2"/>
  <c r="E55" i="2"/>
  <c r="F55" i="2"/>
  <c r="G55" i="2"/>
  <c r="H55" i="2"/>
  <c r="E56" i="2"/>
  <c r="F56" i="2"/>
  <c r="G56" i="2"/>
  <c r="H56" i="2"/>
  <c r="E60" i="2"/>
  <c r="F60" i="2"/>
  <c r="G60" i="2"/>
  <c r="H60" i="2"/>
  <c r="E61" i="2"/>
  <c r="F61" i="2"/>
  <c r="G61" i="2"/>
  <c r="H61" i="2"/>
  <c r="E64" i="2"/>
  <c r="F64" i="2"/>
  <c r="G64" i="2"/>
  <c r="H64" i="2"/>
  <c r="E67" i="2"/>
  <c r="F67" i="2"/>
  <c r="G67" i="2"/>
  <c r="H67" i="2"/>
  <c r="E71" i="2"/>
  <c r="F71" i="2"/>
  <c r="G71" i="2"/>
  <c r="H71" i="2"/>
  <c r="E73" i="2"/>
  <c r="F73" i="2"/>
  <c r="G73" i="2"/>
  <c r="H73" i="2"/>
  <c r="E75" i="2"/>
  <c r="F75" i="2"/>
  <c r="G75" i="2"/>
  <c r="H75" i="2"/>
  <c r="E77" i="2"/>
  <c r="F77" i="2"/>
  <c r="G77" i="2"/>
  <c r="H77" i="2"/>
  <c r="E80" i="2"/>
  <c r="F80" i="2"/>
  <c r="G80" i="2"/>
  <c r="H80" i="2"/>
  <c r="E82" i="2"/>
  <c r="F82" i="2"/>
  <c r="G82" i="2"/>
  <c r="H82" i="2"/>
  <c r="E84" i="2"/>
  <c r="F84" i="2"/>
  <c r="G84" i="2"/>
  <c r="H84" i="2"/>
  <c r="E88" i="2"/>
  <c r="F88" i="2"/>
  <c r="G88" i="2"/>
  <c r="H88" i="2"/>
  <c r="E90" i="2"/>
  <c r="F90" i="2"/>
  <c r="G90" i="2"/>
  <c r="H90" i="2"/>
  <c r="E91" i="2"/>
  <c r="F91" i="2"/>
  <c r="G91" i="2"/>
  <c r="H91" i="2"/>
  <c r="E3" i="2"/>
  <c r="F3" i="2"/>
  <c r="G3" i="2"/>
  <c r="H3" i="2"/>
  <c r="E25" i="2"/>
  <c r="F25" i="2"/>
  <c r="G25" i="2"/>
  <c r="H25" i="2"/>
  <c r="E28" i="2"/>
  <c r="F28" i="2"/>
  <c r="G28" i="2"/>
  <c r="H28" i="2"/>
  <c r="E93" i="2"/>
  <c r="F93" i="2"/>
  <c r="G93" i="2"/>
  <c r="H93" i="2"/>
  <c r="E4" i="2"/>
  <c r="F4" i="2"/>
  <c r="G4" i="2"/>
  <c r="H4" i="2"/>
  <c r="H17" i="2"/>
  <c r="H41" i="2"/>
  <c r="G17" i="2"/>
  <c r="G41" i="2"/>
</calcChain>
</file>

<file path=xl/sharedStrings.xml><?xml version="1.0" encoding="utf-8"?>
<sst xmlns="http://schemas.openxmlformats.org/spreadsheetml/2006/main" count="2227" uniqueCount="523">
  <si>
    <t>Tiny</t>
  </si>
  <si>
    <t>Giant Owl</t>
  </si>
  <si>
    <t>Large</t>
  </si>
  <si>
    <t>Air Elemental</t>
  </si>
  <si>
    <t>Earth Elemental</t>
  </si>
  <si>
    <t>Fire Elemental</t>
  </si>
  <si>
    <t>Water Elemental</t>
  </si>
  <si>
    <t>Giant Vulture</t>
  </si>
  <si>
    <t>Giant Eagle</t>
  </si>
  <si>
    <t>Keen Sight</t>
  </si>
  <si>
    <t>Baboon</t>
  </si>
  <si>
    <t>Small</t>
  </si>
  <si>
    <t>Pack Tactics</t>
  </si>
  <si>
    <t>Badger</t>
  </si>
  <si>
    <t>Keen Smell</t>
  </si>
  <si>
    <t>Cat</t>
  </si>
  <si>
    <t>Deer</t>
  </si>
  <si>
    <t>Medium</t>
  </si>
  <si>
    <t>Giant Fire Beetle</t>
  </si>
  <si>
    <t>Illumination</t>
  </si>
  <si>
    <t>Goat</t>
  </si>
  <si>
    <t>Hyena</t>
  </si>
  <si>
    <t>Jackal</t>
  </si>
  <si>
    <t>Lizard</t>
  </si>
  <si>
    <t>Rat</t>
  </si>
  <si>
    <t>Scorpion</t>
  </si>
  <si>
    <t>Spider</t>
  </si>
  <si>
    <t>Weasel</t>
  </si>
  <si>
    <t>Keen Hearing and Smell</t>
  </si>
  <si>
    <t>Camel</t>
  </si>
  <si>
    <t>Giant Rat</t>
  </si>
  <si>
    <t>Mastiff</t>
  </si>
  <si>
    <t>Mule</t>
  </si>
  <si>
    <t>Pony</t>
  </si>
  <si>
    <t>Axe Beak</t>
  </si>
  <si>
    <t>Boar</t>
  </si>
  <si>
    <t>Draft Horse</t>
  </si>
  <si>
    <t>Elk</t>
  </si>
  <si>
    <t>Charge</t>
  </si>
  <si>
    <t>Giant Badger</t>
  </si>
  <si>
    <t>Giant Centipede</t>
  </si>
  <si>
    <t>Giant Lizard</t>
  </si>
  <si>
    <t>Giant Wolf Spider</t>
  </si>
  <si>
    <t>Panther</t>
  </si>
  <si>
    <t>Riding Horse</t>
  </si>
  <si>
    <t>Ape</t>
  </si>
  <si>
    <t>Black Bear</t>
  </si>
  <si>
    <t>Giant Goat</t>
  </si>
  <si>
    <t>War Horse</t>
  </si>
  <si>
    <t>Trampling Charge</t>
  </si>
  <si>
    <t>Brown Bear</t>
  </si>
  <si>
    <t>Dire Wolf</t>
  </si>
  <si>
    <t>Giant Hyena</t>
  </si>
  <si>
    <t>Rampage</t>
  </si>
  <si>
    <t>Giant Spider</t>
  </si>
  <si>
    <t>Lion</t>
  </si>
  <si>
    <t>Tiger</t>
  </si>
  <si>
    <t>Wolf</t>
  </si>
  <si>
    <t>Crab</t>
  </si>
  <si>
    <t>Amphibious</t>
  </si>
  <si>
    <t>Frog</t>
  </si>
  <si>
    <t>Octopus</t>
  </si>
  <si>
    <t>Quipper</t>
  </si>
  <si>
    <t>Sea Horse</t>
  </si>
  <si>
    <t>Water Breathing</t>
  </si>
  <si>
    <t>Giant Crab</t>
  </si>
  <si>
    <t>Poisonous Snake</t>
  </si>
  <si>
    <t>Constrictor Snake</t>
  </si>
  <si>
    <t>Giant Frog</t>
  </si>
  <si>
    <t>Giant Poisonous Snake</t>
  </si>
  <si>
    <t>Crocodile</t>
  </si>
  <si>
    <t>Hold Breath</t>
  </si>
  <si>
    <t>Giant Seahorse</t>
  </si>
  <si>
    <t>Reef Shark</t>
  </si>
  <si>
    <t>Giant Octopus</t>
  </si>
  <si>
    <t>Giant Toad</t>
  </si>
  <si>
    <t>Allosaurus</t>
  </si>
  <si>
    <t>Pounce</t>
  </si>
  <si>
    <t>Giant Boar</t>
  </si>
  <si>
    <t>Giant Constrictor Snake</t>
  </si>
  <si>
    <t>Huge</t>
  </si>
  <si>
    <t>Giant Elk</t>
  </si>
  <si>
    <t>Hunter Shark</t>
  </si>
  <si>
    <t>Plesiosaurus</t>
  </si>
  <si>
    <t>Polar Bear</t>
  </si>
  <si>
    <t>Rhinoceros</t>
  </si>
  <si>
    <t>Saber-Toothed Tiger</t>
  </si>
  <si>
    <t>Bat</t>
  </si>
  <si>
    <t>Eagle</t>
  </si>
  <si>
    <t>Hawk</t>
  </si>
  <si>
    <t>Owl</t>
  </si>
  <si>
    <t>Raven</t>
  </si>
  <si>
    <t>Vulture</t>
  </si>
  <si>
    <t>Blood Hawk</t>
  </si>
  <si>
    <t>Flying Snake</t>
  </si>
  <si>
    <t>Flyby</t>
  </si>
  <si>
    <t>Stirge</t>
  </si>
  <si>
    <t>Giant Bat</t>
  </si>
  <si>
    <t>Pteranodon</t>
  </si>
  <si>
    <t>Giant Wasp</t>
  </si>
  <si>
    <t>Ankylosaurus</t>
  </si>
  <si>
    <t>Giant Scorpion</t>
  </si>
  <si>
    <t>Killer Whale</t>
  </si>
  <si>
    <t>Elephant</t>
  </si>
  <si>
    <t>Giant Crocodile</t>
  </si>
  <si>
    <t>Giant Shark</t>
  </si>
  <si>
    <t>Triceratops</t>
  </si>
  <si>
    <t>Mammoth</t>
  </si>
  <si>
    <t>Type</t>
  </si>
  <si>
    <t>Alignment</t>
  </si>
  <si>
    <t>CR</t>
  </si>
  <si>
    <t>Size</t>
  </si>
  <si>
    <t>AC</t>
  </si>
  <si>
    <t>HP</t>
  </si>
  <si>
    <t>Burrow</t>
  </si>
  <si>
    <t>Climb</t>
  </si>
  <si>
    <t>Fly</t>
  </si>
  <si>
    <t>STR</t>
  </si>
  <si>
    <t>DEX</t>
  </si>
  <si>
    <t>CON</t>
  </si>
  <si>
    <t>INT</t>
  </si>
  <si>
    <t>WIS</t>
  </si>
  <si>
    <t>CHA</t>
  </si>
  <si>
    <t>Skills</t>
  </si>
  <si>
    <t>Senses</t>
  </si>
  <si>
    <t>XML</t>
  </si>
  <si>
    <t>Speed</t>
  </si>
  <si>
    <t>Vulnerabie</t>
  </si>
  <si>
    <t>Resist</t>
  </si>
  <si>
    <t>Immune</t>
  </si>
  <si>
    <t>Condition Immune</t>
  </si>
  <si>
    <t>Languages</t>
  </si>
  <si>
    <t>poison</t>
  </si>
  <si>
    <t>exhaustion, grappled, paralyzed, petrified, poisoned, prone, restrained, unconscious</t>
  </si>
  <si>
    <t>Air Form</t>
  </si>
  <si>
    <t>Auran</t>
  </si>
  <si>
    <t>Terran</t>
  </si>
  <si>
    <t>thunder</t>
  </si>
  <si>
    <t>fire, poison</t>
  </si>
  <si>
    <t>Ignan</t>
  </si>
  <si>
    <t>Giant Eagle, understands Common and Auran but can't speak</t>
  </si>
  <si>
    <t>Giant Elk, understands Common, Elvish, and Sylvan but can't speak</t>
  </si>
  <si>
    <t>Giant Owl, understands Common, Elvish, and Sylvan but can't speak</t>
  </si>
  <si>
    <t>understands Common but can't speak</t>
  </si>
  <si>
    <t>bludgeoning, piercing, and slashing from nonmagical weapons</t>
  </si>
  <si>
    <t>exhaustion, paralyzed, petrified, poisoned, unconscious</t>
  </si>
  <si>
    <t>acid; bludgeoning, piercing, and slashing from nonmagical weapons</t>
  </si>
  <si>
    <t>Aquan</t>
  </si>
  <si>
    <t>trait</t>
  </si>
  <si>
    <t>Multiattack</t>
  </si>
  <si>
    <t>action</t>
  </si>
  <si>
    <t>The elemental makes two slam attacks.</t>
  </si>
  <si>
    <t>Slam</t>
  </si>
  <si>
    <t>Melee Weapon Attack: +8 to hit, reach 5 ft., one target. Hit: 14 (2d8 + 5) bludgeoning damage.</t>
  </si>
  <si>
    <t>2d8+5</t>
  </si>
  <si>
    <t>Ability 1 XML</t>
  </si>
  <si>
    <t>Ability 2 XML</t>
  </si>
  <si>
    <t>Ability 4 XML</t>
  </si>
  <si>
    <t>Ability 3 XML</t>
  </si>
  <si>
    <t>lightning; thunder; bludgeoning, piercing, and slashing from nonmagical weapons</t>
  </si>
  <si>
    <t>If the allosaurus moves at least 30 feet straight toward a creature and then hits it with a claw attack on the same turn, that target must succeed on a DC 13 Strength saving throw or be knocked prone. If the target is prone, the allosaurus can make one bite attack against it as a bonus action.</t>
  </si>
  <si>
    <t>Bite</t>
  </si>
  <si>
    <t>Melee Weapon Attack: +6 to hit, reach 5 ft., one target. Hit: 15 (2d10 + 4) piercing damage.</t>
  </si>
  <si>
    <t>2d10+4</t>
  </si>
  <si>
    <t>Claw</t>
  </si>
  <si>
    <t>Melee Weapon Attack: +6 to hit, reach 5 ft., one target. Hit: 8 (1d8 + 4) slashing damage.</t>
  </si>
  <si>
    <t>1d8+4</t>
  </si>
  <si>
    <t>Tail</t>
  </si>
  <si>
    <t>Melee Weapon Attack: +7 to hit, reach 10 ft., one target. Hit: 18 (4d6 + 4) bludgeoning damage. If the target is a creature, it must succeed on a DC 14 Strength saving throw or be knocked prone.</t>
  </si>
  <si>
    <t>The ape makes two fist attacks.</t>
  </si>
  <si>
    <t>Fist</t>
  </si>
  <si>
    <t>1d6+3</t>
  </si>
  <si>
    <t>Rock</t>
  </si>
  <si>
    <t xml:space="preserve"> </t>
  </si>
  <si>
    <t>Beak</t>
  </si>
  <si>
    <t>1d8+2</t>
  </si>
  <si>
    <t>Darkvision 60 ft.</t>
  </si>
  <si>
    <t>Darkvision 60 ft., Tremorsense 60 ft.</t>
  </si>
  <si>
    <t>Darkvision 30 ft.</t>
  </si>
  <si>
    <t>Blindsight 60 ft.</t>
  </si>
  <si>
    <t>Blindsight 10 ft.</t>
  </si>
  <si>
    <t>Blindsight 30 ft.</t>
  </si>
  <si>
    <t>Darkvision 120 ft.</t>
  </si>
  <si>
    <t>Blindsight 10 ft., Darkvision 60 ft.</t>
  </si>
  <si>
    <t>Blindsight 120 ft.</t>
  </si>
  <si>
    <t>Fire Form</t>
  </si>
  <si>
    <t>The elemental sheds bright light in a 30-foot radius and dim light in an additional 30 feet.</t>
  </si>
  <si>
    <t>Water Susceptibility</t>
  </si>
  <si>
    <t>For every 5 feet the elemental moves in water, or for every gallon of water splashed on it, it takes 1 cold damage.</t>
  </si>
  <si>
    <t>Ability 5 XML</t>
  </si>
  <si>
    <t>The elemental makes two touch attacks.</t>
  </si>
  <si>
    <t>Touch</t>
  </si>
  <si>
    <t>2d6+3</t>
  </si>
  <si>
    <t>Melee Weapon Attack: +6 to hit, reach 5 ft., one target. Hit: 10 (2d6 + 3) fire damage. If the target is a creature or a flammable object, it ignites. Until a creature takes an action to douse the fire, the target takes 5 (1d10) fire damage at the start of each of its turns.</t>
  </si>
  <si>
    <t>Earth Glide</t>
  </si>
  <si>
    <t>Siege Monster</t>
  </si>
  <si>
    <t>The elemental deals double damage to objects and structures.</t>
  </si>
  <si>
    <t>Melee Weapon Attack: +8 to hit, reach 10 ft., one target. Hit: 14 (2d8 + 5) bludgeoning damage.</t>
  </si>
  <si>
    <t>Water Form</t>
  </si>
  <si>
    <t>Freeze</t>
  </si>
  <si>
    <t>If the elemental takes cold damage, it partially freezes; its speed is reduced by 20 feet until the end of its next turn.</t>
  </si>
  <si>
    <t>Melee Weapon Attack: +7 to hit, reach 5 ft., one target. Hit: 13 (2d8 + 4) bludgeoning damage.</t>
  </si>
  <si>
    <t>2d8+4</t>
  </si>
  <si>
    <t>Whelm (Recharge 4-6)</t>
  </si>
  <si>
    <t>1d4+2</t>
  </si>
  <si>
    <t>Sting</t>
  </si>
  <si>
    <t>1/2</t>
  </si>
  <si>
    <t>1/8</t>
  </si>
  <si>
    <t>1/4</t>
  </si>
  <si>
    <t>1d4+3</t>
  </si>
  <si>
    <t>1d4-1</t>
  </si>
  <si>
    <t>The badger has advantage on Wisdom (Perception) checks that rely on smell.</t>
  </si>
  <si>
    <t>Melee Weapon Attack: +2 to hit, reach 5 ft., one target. Hit: 1 piercing damage.</t>
  </si>
  <si>
    <t>Echolocation</t>
  </si>
  <si>
    <t>Keen Hearing</t>
  </si>
  <si>
    <t>The bat has advantage on Wisdom (Perception) checks that rely on hearing.</t>
  </si>
  <si>
    <t>Melee Weapon Attack: +0 to hit, reach 5 ft., one creature. Hit: 1 piercing damage.</t>
  </si>
  <si>
    <t>The bear has advantage on Wisdom (Perception) checks that rely on smell.</t>
  </si>
  <si>
    <t>The bear makes two attacks: one with its bite and one with its claws.</t>
  </si>
  <si>
    <t>1d6+2</t>
  </si>
  <si>
    <t>Claws</t>
  </si>
  <si>
    <t>2d4+2</t>
  </si>
  <si>
    <t>The hawk has advantage on Wisdom (Perception) checks that rely on sight.</t>
  </si>
  <si>
    <t>If the boar moves at least 20 feet straight toward a target and then hits it with a tusk attack on the same turn, the target takes an extra 3 (1d6) slashing damage. If the target is a creature, it must succeed on a DC 11 Strength saving throw or be knocked prone.</t>
  </si>
  <si>
    <t>Relentless (Recharges after a Short or Long Rest)</t>
  </si>
  <si>
    <t>If the boar takes 7 damage or less that would reduce it to 0 hit points, it is reduced to 1 hit point instead.</t>
  </si>
  <si>
    <t>Tusk</t>
  </si>
  <si>
    <t>1d6+1</t>
  </si>
  <si>
    <t>2d6+4</t>
  </si>
  <si>
    <t>Melee Weapon Attack: +5 to hit, reach 5 ft., one target. Hit: 2 (1d4) bludgeoning damage.</t>
  </si>
  <si>
    <t>1d4</t>
  </si>
  <si>
    <t>The cat has advantage on Wisdom (Perception) checks that rely on smell.</t>
  </si>
  <si>
    <t>Melee Weapon Attack: +0 to hit, reach 5 ft., one target. Hit: 1 slashing damage.</t>
  </si>
  <si>
    <t>Constrict</t>
  </si>
  <si>
    <t>The crab can breathe air and water.</t>
  </si>
  <si>
    <t>Melee Weapon Attack: +0 to hit, reach 5 ft., one target. Hit: 1 bludgeoning damage.</t>
  </si>
  <si>
    <t>The crocodile can hold its breath for 15 minutes.</t>
  </si>
  <si>
    <t>1d10+2</t>
  </si>
  <si>
    <t>Melee Weapon Attack: +2 to hit, reach 5 ft., one target. Hit: 2 (1d4) piercing damage.</t>
  </si>
  <si>
    <t>The wolf has advantage on Wisdom (Perception) checks that rely on hearing or smell.</t>
  </si>
  <si>
    <t>Hooves</t>
  </si>
  <si>
    <t>2d4+4</t>
  </si>
  <si>
    <t>The eagle has advantage on Wisdom (Perception) checks that rely on sight.</t>
  </si>
  <si>
    <t>Talons</t>
  </si>
  <si>
    <t>If the elephant moves at least 20 feet straight toward a creature and then hits it with a gore attack on the same turn, that target must succeed on a DC 12 Strength saving throw or be knocked prone. If the target is prone, the elephant can make one stomp attack against it as a bonus action.</t>
  </si>
  <si>
    <t>Gore</t>
  </si>
  <si>
    <t>Melee Weapon Attack: +8 to hit, reach 5 ft., one target. Hit: 18 (3d8 + 5) piercing damage.</t>
  </si>
  <si>
    <t>Stomp</t>
  </si>
  <si>
    <t>3d8+5</t>
  </si>
  <si>
    <t>Melee Weapon Attack: +8 to hit, reach 5 ft., one prone creature. Hit: 21 (3d10 + 5) bludgeoning damage.</t>
  </si>
  <si>
    <t>3d10+5</t>
  </si>
  <si>
    <t>If the elk moves at least 20 feet straight toward a target and then hits it with a ram attack on the same turn, the target takes an extra 7 (2d6) damage. If the target is a creature, it must succeed on a DC 13 Strength saving throw or be knocked prone.</t>
  </si>
  <si>
    <t>Ram</t>
  </si>
  <si>
    <t>2d4+3</t>
  </si>
  <si>
    <t>Saves</t>
  </si>
  <si>
    <t>Numeric CR</t>
  </si>
  <si>
    <t>Fly Level</t>
  </si>
  <si>
    <t>Swim Level</t>
  </si>
  <si>
    <t>Melee Weapon Attack: +6 to hit, reach 5 ft., one target. Hit: 1 piercing damage plus 7 (3d4) poison damage.</t>
  </si>
  <si>
    <t>The frog can breathe air and water</t>
  </si>
  <si>
    <t>Name</t>
  </si>
  <si>
    <t>Ground</t>
  </si>
  <si>
    <t>Statistics</t>
  </si>
  <si>
    <t>Athletics</t>
  </si>
  <si>
    <t>Perception</t>
  </si>
  <si>
    <t>Stealth</t>
  </si>
  <si>
    <t>Passive Perception</t>
  </si>
  <si>
    <t>Ability 1</t>
  </si>
  <si>
    <t>Text</t>
  </si>
  <si>
    <t>Ability 2</t>
  </si>
  <si>
    <t>Ability 3</t>
  </si>
  <si>
    <t>Ability 4</t>
  </si>
  <si>
    <t>Ability 5</t>
  </si>
  <si>
    <t>Standing Leap</t>
  </si>
  <si>
    <t>2d6+2</t>
  </si>
  <si>
    <t>beast</t>
  </si>
  <si>
    <t>elemental</t>
  </si>
  <si>
    <t>Movement</t>
  </si>
  <si>
    <t>Label</t>
  </si>
  <si>
    <t>Roll</t>
  </si>
  <si>
    <t>Damage</t>
  </si>
  <si>
    <t>3d10+6</t>
  </si>
  <si>
    <t>The badger makes two attacks: one with its bite and one with its claws.</t>
  </si>
  <si>
    <t>2d4+1</t>
  </si>
  <si>
    <t>If the boar moves at least 20 feet straight toward a target and then hits it with a tusk attack on the same turn, the target takes an extra 7 (2d6) slashing damage. If the target is a creature, it must succeed on a DC 13 Strength saving throw or be knocked prone.</t>
  </si>
  <si>
    <t>If the boar takes 10 damage or less that would reduce it to 0 hit points, it is reduced to 1 hit point instead.</t>
  </si>
  <si>
    <t>Melee Weapon Attack: +5 to hit, reach 5 ft., one target. Hit: 10 (2d6 + 3) slashing damage.</t>
  </si>
  <si>
    <t>Melee Weapon Attack: +6 to hit, reach 10 ft., one creature. Hit: 11 (2d6 + 4) piercing damage.</t>
  </si>
  <si>
    <t>The crocodile can hold its breath for 30 minutes.</t>
  </si>
  <si>
    <t>The crocodile makes two attacks: one with its bite and one with its tail.</t>
  </si>
  <si>
    <t>Melee Weapon Attack: +8 to hit, reach 10 ft., one target not grappled by the crocodile. Hit: 14 (2d8 + 5) bludgeoning damage. If the target is a creature, it must succeed on a DC 16 Strength saving throw or be knocked prone.</t>
  </si>
  <si>
    <t>The eagle makes two attacks: one with its beak and one with its talons.</t>
  </si>
  <si>
    <t>If the elk moves at least 20 feet straight toward a target and then hits it with a ram attack on the same turn, the target takes an extra 7 (2d6) damage. If the target is a creature, it must succeed on a DC 14 Strength saving throw or be knocked prone.</t>
  </si>
  <si>
    <t>4d8+4</t>
  </si>
  <si>
    <t>Melee Weapon Attack: +6 to hit, reach 10 ft., one target. Hit: 11 (2d6 + 4) bludgeoning damage.</t>
  </si>
  <si>
    <t>Melee Weapon Attack: +6 to hit, reach 5 ft., one prone creature. Hit: 22 (4d8 + 4) bludgeoning damage.</t>
  </si>
  <si>
    <t>The beetle sheds bright light in a 10-foot radius and dim light for an additional 10 feet.</t>
  </si>
  <si>
    <t>1d6-1</t>
  </si>
  <si>
    <t>Swallow</t>
  </si>
  <si>
    <t>If the goat moves at least 20 feet straight toward a target and then hits it with a ram attack on the same turn, the target takes an extra 5 (2d4) bludgeoning damage. If the target is a creature, it must succeed on a DC 13 Strength saving throw or be knocked prone.</t>
  </si>
  <si>
    <t>Sure-Footed</t>
  </si>
  <si>
    <t>The goat has advantage on Strength and Dexterity saving throws made against effects that would knock it prone.</t>
  </si>
  <si>
    <t>When the hyena reduces a creature to 0 hit points with a melee attack on its turn, the hyena can take a bonus action to move up to half its speed and make a bite attack.</t>
  </si>
  <si>
    <t>While out of water, the octopus can hold its breath for 1 hour.</t>
  </si>
  <si>
    <t>Underwater Camouflage</t>
  </si>
  <si>
    <t>The octopus has advantage on Dexterity (Stealth) checks made while underwater.</t>
  </si>
  <si>
    <t>The octopus can breathe only underwater.</t>
  </si>
  <si>
    <t>Tentacles</t>
  </si>
  <si>
    <t>Ink Cloud (Recharges after a Short or Long Rest)</t>
  </si>
  <si>
    <t>Keen Hearing and Sight</t>
  </si>
  <si>
    <t>The owl has advantage on Wisdom (Perception) checks that rely on hearing or sight.</t>
  </si>
  <si>
    <t>2d6+1</t>
  </si>
  <si>
    <t>1d4+4</t>
  </si>
  <si>
    <t>The rat has advantage on Wisdom (Perception) checks that rely on smell.</t>
  </si>
  <si>
    <t>The scorpion makes three attacks: two with its claws and one with its sting.</t>
  </si>
  <si>
    <t>Melee Weapon Attack: +4 to hit, reach 5 ft., one target. Hit: 6 (1d8 + 2) bludgeoning damage, and the target is grappled (escape DC 12). The scorpion has two claws, each of which can grapple only one target.</t>
  </si>
  <si>
    <t>Melee Weapon Attack: +4 to hit, reach 5 ft., one creature. Hit: 7 (1d10 + 2) piercing damage, and the target must make a DC 12 Constitution saving throw, taking 22 (4d10) poison damage on a failed save, or half as much damage on a successful one.</t>
  </si>
  <si>
    <t xml:space="preserve"> Level</t>
  </si>
  <si>
    <t>If the sea horse moves at least 20 feet straight toward a target and then hits it with a ram attack on the same turn, the target takes an extra 7 (2d6) bludgeoning damage. If the target is a creature, it must succeed on a DC 11 Strength saving throw or be knocked prone.</t>
  </si>
  <si>
    <t>The seahorse can breathe only underwater.</t>
  </si>
  <si>
    <t>Blood Frenzy</t>
  </si>
  <si>
    <t>The shark can breathe only underwater.</t>
  </si>
  <si>
    <t>Weapon Attack: +9 to hit, reach 5 ft., one target. Hit: 22 (3d10 + 6) piercing damage.</t>
  </si>
  <si>
    <t>Spider Climb</t>
  </si>
  <si>
    <t>The spider can climb difficult surfaces, including upside down on ceilings, without needing to make an ability check.</t>
  </si>
  <si>
    <t>Web Sense</t>
  </si>
  <si>
    <t>While in contact with a web, the spider knows the exact location of any other creature in contact with the same web.</t>
  </si>
  <si>
    <t>Web Walker</t>
  </si>
  <si>
    <t>The spider ignores movement restrictions caused by webbing.</t>
  </si>
  <si>
    <t>1d8+3</t>
  </si>
  <si>
    <t>Web (Recharge 5-6)</t>
  </si>
  <si>
    <t>Ranged Weapon Attack: +5 to hit, range 30/60 ft., one creature. Hit: The target is restrained by webbing. As an action, the restrained target can make a DC 12 Strength check, bursting the webbing on a success. The webbing can also be attacked and destroyed (AC 10; hp 5; vulnerability to fire damage; immunity to bludgeoning, poison, and psychic damage).</t>
  </si>
  <si>
    <t>Web</t>
  </si>
  <si>
    <t>The toad can breathe air and water</t>
  </si>
  <si>
    <t>The toad's long jump is up to 20 feet and its high jump is up to 10 feet, with or without a running start.</t>
  </si>
  <si>
    <t>Keen Sight and Smell</t>
  </si>
  <si>
    <t>The vulture has advantage on Wisdom (Perception) checks that rely on sight or smell.</t>
  </si>
  <si>
    <t>The vulture makes two attacks: one with its beak and one with its talons.</t>
  </si>
  <si>
    <t>The weasel has advantage on Wisdom (Perception) checks that rely on hearing or smell.</t>
  </si>
  <si>
    <t>If the goat moves at least 20 feet straight toward a target and then hits it with a ram attack on the same turn, the target takes an extra 2 (1d4) bludgeoning damage. If the target is a creature, it must succeed on a DC 10 Strength saving throw or be knocked prone.</t>
  </si>
  <si>
    <t>1d4+1</t>
  </si>
  <si>
    <t>Melee Weapon Attack: +5 to hit, reach 5 ft., one target. Hit: 1 slashing damage.</t>
  </si>
  <si>
    <t>Melee Weapon Attack: +6 to hit, reach 5 ft., one target. Hit: 13 (2d8 + 4) piercing damage.</t>
  </si>
  <si>
    <t>Weapon Attack: +2 to hit, reach 5 ft., one target. Hit: 3 (1d6) piercing damage.</t>
  </si>
  <si>
    <t>1d6</t>
  </si>
  <si>
    <t>The jackal has advantage on Wisdom (Perception) checks that rely on hearing or smell.</t>
  </si>
  <si>
    <t>The whale can hold its breath for 30 minutes</t>
  </si>
  <si>
    <t>The whale has advantage on Wisdom (Perception) checks that rely on hearing.</t>
  </si>
  <si>
    <t>Ability 6</t>
  </si>
  <si>
    <t>Ability 6 XML</t>
  </si>
  <si>
    <t>5d6+4</t>
  </si>
  <si>
    <t>Melee Weapon Attack: +6 to hit, reach 5 ft., one target. Hit: 21 (5d6 + 4) piercing damage.</t>
  </si>
  <si>
    <t>The lion has advantage on Wisdom (Perception) checks that rely on smell.</t>
  </si>
  <si>
    <t>If the lion moves at least 20 feet straight toward a creature and then hits it with a claw attack on the same turn, that target must succeed on a DC 13 Strength saving throw or be knocked prone. If the target is prone, the lion can make one bite attack against it as a bonus action.</t>
  </si>
  <si>
    <t>Running Leap</t>
  </si>
  <si>
    <t>With a 10-foot running start, the lion can long jump up to 25 feet.</t>
  </si>
  <si>
    <t>Melee Weapon Attack: +0 to hit, reach 5 ft., one target. Hit: 1 piercing damage.</t>
  </si>
  <si>
    <t>If the mammoth moves at least 20 feet straight toward a creature and then hits it with a gore attack on the same turn, that target must succeed on a DC 18 Strength saving throw or be knocked prone. If the target is prone, the mammoth can make one stomp attack against it as a bonus action.</t>
  </si>
  <si>
    <t>4d8+7</t>
  </si>
  <si>
    <t>4d10+7</t>
  </si>
  <si>
    <t>Melee Weapon Attack: +10 to hit, reach 10 ft., one target. Hit: 25 (4d8 + 7) piercing damage.</t>
  </si>
  <si>
    <t>Melee Weapon Attack: +10 to hit, reach 5 ft., one prone creature. Hit: 29 (4d10 + 7) bludgeoning damage.</t>
  </si>
  <si>
    <t>The mastiff has advantage on Wisdom (Perception) checks that rely on hearing or smell.</t>
  </si>
  <si>
    <t>Beast of Burden</t>
  </si>
  <si>
    <t>The mule is considered to be a Large animal for the purpose of determining its carrying capacity.</t>
  </si>
  <si>
    <t>The mule has advantage on Strength and Dexterity saving throws made against effects that would knock it prone.</t>
  </si>
  <si>
    <t>While out of water, the octopus can hold its breath for 30 minutes.</t>
  </si>
  <si>
    <t>A 5-foot-radius cloud of ink extends all around the octopus if it is underwater. The area is heavily obscured for 1 minute, although a significant current can disperse the ink. After releasing the ink, the octopus can use the Dash action as a bonus action.</t>
  </si>
  <si>
    <t>Melee Weapon Attack: +3 to hit, reach 5 ft., one target. Hit: 1 slashing damage.</t>
  </si>
  <si>
    <t>The panther has advantage on Wisdom (Perception) checks that rely on smell.</t>
  </si>
  <si>
    <t>If the panther moves at least 20 feet straight toward a creature and then hits it with a claw attack on the same turn, that target must succeed on a DC 12 Strength saving throw or be knocked prone. If the target is prone, the panther can make one bite attack against it as a bonus action.</t>
  </si>
  <si>
    <t>The plesiosaurus can hold its breath for 1 hour.</t>
  </si>
  <si>
    <t>Melee Weapon Attack: +6 to hit, reach 10 ft., one target. Hit: 14 (3d6 + 4) piercing damage.</t>
  </si>
  <si>
    <t>3d6+4</t>
  </si>
  <si>
    <t>Melee Weapon Attack: +5 to hit, reach 5 ft., one target. Hit: 1 piercing damage, and the target must make a DC 10 Constitution saving throw, taking 5 (2d4) poison damage on a failed save, or half as much damage on a successful one.</t>
  </si>
  <si>
    <t>Melee Weapon Attack: +7 to hit, reach 5 ft., one target. Hit: 9 (1d8 + 5) piercing damage.</t>
  </si>
  <si>
    <t>1d8+5</t>
  </si>
  <si>
    <t>Melee Weapon Attack: +7 to hit, reach 5 ft., one target. Hit: 12 (2d6 + 5) slashing damage.</t>
  </si>
  <si>
    <t>2d6+5</t>
  </si>
  <si>
    <t>The quipper can breathe only underwater.</t>
  </si>
  <si>
    <t>Melee Weapon Attack: +5 to hit, reach 5 ft., one target. Hit: 1 piercing damage.</t>
  </si>
  <si>
    <t>Mimicry</t>
  </si>
  <si>
    <t>The raven can mimic simple sounds it has heard, such as a person whispering, a baby crying, or an animal chittering. A creature that hears the sounds can tell they are imitations with a successful DC 10 Wisdom (Insight) check.</t>
  </si>
  <si>
    <t>Melee Weapon Attack: +4 to hit, reach 5 ft., one target. Hit: 1 piercing damage.</t>
  </si>
  <si>
    <t>If the rhinoceros moves at least 20 feet straight toward a target and then hits it with a gore attack on the same turn, the target takes an extra 9 (2d8) bludgeoning damage. If the target is a creature, it must succeed on a DC 15 Strength saving throw or be knocked prone.</t>
  </si>
  <si>
    <t>Melee Weapon Attack: +7 to hit, reach 5 ft., one target. Hit: 14 (2d8 + 5) bludgeoning damage.</t>
  </si>
  <si>
    <t>The tiger has advantage on Wisdom (Perception) checks that rely on smell.</t>
  </si>
  <si>
    <t>If the tiger moves at least 20 feet straight toward a creature and then hits it with a claw attack on the same turn, that target must succeed on a DC 14 Strength saving throw or be knocked prone. If the target is prone, the tiger can make one bite attack against it as a bonus action.</t>
  </si>
  <si>
    <t>Melee Weapon Attack: +6 to hit, reach 5 ft., one target. Hit: 10 (1d10 + 5) piercing damage.</t>
  </si>
  <si>
    <t>1d10+5</t>
  </si>
  <si>
    <t>Melee Weapon Attack: +6 to hit, reach 5 ft., one target. Hit: 12 (2d6 + 5) slashing damage.</t>
  </si>
  <si>
    <t>Melee Weapon Attack: +2 to hit, reach 5 ft., one creature. Hit: 1 piercing damage, and the target must make a DC 9 Constitution saving throw, taking 4 (1d8) poison damage on a failed save, or half as much damage on a successful one.</t>
  </si>
  <si>
    <t>The sea horse can breathe only underwater.</t>
  </si>
  <si>
    <t>Melee Weapon Attack: +4 to hit, reach 5 ft., one creature. Hit: 1 piercing damage, and the target must succeed on a DC 9 Constitution saving throw or take 2 (1d4) poison damage.</t>
  </si>
  <si>
    <t>Blood Drain</t>
  </si>
  <si>
    <t>If the tiger moves at least 20 feet straight toward a creature and then hits it with a claw attack on the same turn, that target must succeed on a DC 13 Strength saving throw or be knocked prone. If the target is prone, the tiger can make one bite attack against it as a bonus action.</t>
  </si>
  <si>
    <t>1d10+3</t>
  </si>
  <si>
    <t>If the triceratops moves at least 20 feet straight toward a creature and then hits it with a gore attack on the same turn, that target must succeed on a DC 13 Strength saving throw or be knocked prone. If the target is prone, the triceratops can make one stomp attack against it as a bonus action.</t>
  </si>
  <si>
    <t>Melee Weapon Attack: +9 to hit, reach 5 ft., one target. Hit: 24 (4d8 + 6) piercing damage.</t>
  </si>
  <si>
    <t>4d8+6</t>
  </si>
  <si>
    <t>Melee Weapon Attack: +9 to hit, reach 5 ft., one prone creature. Hit: 22 (3d10 + 6) bludgeoning damage</t>
  </si>
  <si>
    <t>If the horse moves at least 20 feet straight toward a creature and then hits it with a hooves attack on the same turn, that target must succeed on a DC 14 Strength saving throw or be knocked prone. If the target is prone, the horse can make another attack with its hooves against it as a bonus action.</t>
  </si>
  <si>
    <t>Primal Strike</t>
  </si>
  <si>
    <t>A 20-foot-radius cloud of ink extends all around the octopus if it is underwater. The area is heavily obscured for 1 minute, although a significant current can disperse the ink. After releasing the ink, the octopus can use the Dash action as a bonus action.</t>
  </si>
  <si>
    <t>Armor</t>
  </si>
  <si>
    <t>natural armor</t>
  </si>
  <si>
    <t>Acrobatics</t>
  </si>
  <si>
    <t>Arcana</t>
  </si>
  <si>
    <t>Deception</t>
  </si>
  <si>
    <t>History</t>
  </si>
  <si>
    <t>Insight</t>
  </si>
  <si>
    <t>Intimidation</t>
  </si>
  <si>
    <t>Investigation</t>
  </si>
  <si>
    <t>Medicine</t>
  </si>
  <si>
    <t>Nature</t>
  </si>
  <si>
    <t>Performance</t>
  </si>
  <si>
    <t>Persuasion</t>
  </si>
  <si>
    <t>Religion</t>
  </si>
  <si>
    <t>Sleight of Hand</t>
  </si>
  <si>
    <t>Survival</t>
  </si>
  <si>
    <t>Level</t>
  </si>
  <si>
    <t>Str</t>
  </si>
  <si>
    <t>Dex</t>
  </si>
  <si>
    <t>Con</t>
  </si>
  <si>
    <t>Int</t>
  </si>
  <si>
    <t>Wis</t>
  </si>
  <si>
    <t>Cha</t>
  </si>
  <si>
    <t>Proficient Skills</t>
  </si>
  <si>
    <t>Proficient Saves</t>
  </si>
  <si>
    <t>Animal Handing</t>
  </si>
  <si>
    <t>Ability Scores</t>
  </si>
  <si>
    <t>Form Skills</t>
  </si>
  <si>
    <t>Raw Skills</t>
  </si>
  <si>
    <t>Melee Weapon Attack: +5 to hit, reach 5 ft., one target. Hit: 6 (1d6+3) bludgeoning damage.</t>
  </si>
  <si>
    <t>Ranged Weapon Attack: +5 to hit, range 25/50 ft., one target. Hit: 6 (1d6+3) bludgeoning damage.</t>
  </si>
  <si>
    <t>Melee Weapon Attack: +4 to hit, reach 5 ft., one target. Hit: 6 (1d8+2) slashing damage.</t>
  </si>
  <si>
    <t>Melee Weapon Attack: +3 to hit, reach 5 ft., one target. Hit: 5 (1d6+2) piercing damage.</t>
  </si>
  <si>
    <t>Melee Weapon Attack: +3 to hit, reach 5 ft., one target. Hit: 7 (2d4+2) slashing damage.</t>
  </si>
  <si>
    <t>Melee Weapon Attack: +4 to hit, reach 5 ft., one target. Hit: 4 (1d4+2) piercing damage.</t>
  </si>
  <si>
    <t>Weapon Attack: +3 to hit, reach 5 ft., one target. Hit: 4 (1d6+1) slashing damage.</t>
  </si>
  <si>
    <t>Weapon Attack: +5 to hit, reach 5 ft., one target. Hit: 8 (1d8+4) piercing damage.</t>
  </si>
  <si>
    <t>Melee Weapon Attack: +5 to hit, reach 5 ft., one target. Hit: 11 (2d6+4) slashing damage.</t>
  </si>
  <si>
    <t>Melee Weapon Attack: +4 to hit, reach 5 ft., one creature. Hit: 5 (1d6+2) piercing damage.</t>
  </si>
  <si>
    <t>Melee Weapon Attack: +5 to hit, reach 5 ft., one target. Hit: 10 (2d6+3) piercing damage. If the target is a creature, it must succeed on a DC 13 Strength saving throw or be knocked prone.</t>
  </si>
  <si>
    <t>Melee Weapon Attack: +6 to hit, reach 5 ft., one target. Hit: 9 (2d4+4) bludgeoning damage.</t>
  </si>
  <si>
    <t>Melee Weapon Attack: +4 to hit, reach 5 ft., one target. Hit: 4 (1d4+2) slashing damage.</t>
  </si>
  <si>
    <t>Melee Weapon Attack: +5 to hit, reach 5 ft., one prone creature. Hit: 8 (2d4+3) bludgeoning damage.</t>
  </si>
  <si>
    <t>Melee Weapon Attack: +3 to hit, reach 5 ft., one target. Hit: 4 (1d6+1) piercing damage.</t>
  </si>
  <si>
    <t>Melee Weapon Attack: +3 to hit, reach 5 ft., one target. Hit: 6 (2d4+1) slashing damage.</t>
  </si>
  <si>
    <t>Bite. Melee Weapon Attack: +4 to hit, reach 5 ft., one creature. Hit: 4 (1d4+2) piercing damage, and the target must succeed on a DC 11 Constitution saving throw or take 10 (3d6) poison damage. If the poison damage reduces the target to 0 hit points, the target is stable but poisoned for 1 hour, even after regaining hit points, and is paralyzed while poisoned in this way.</t>
  </si>
  <si>
    <t>Melee Weapon Attack: +3 to hit, reach 5 ft., one target. Hit: 4 (1d6+1) bludgeoning damage, and the target is grappled (escape DC 11). The crab has two claws, each of which can grapple only one target.</t>
  </si>
  <si>
    <t>Melee Weapon Attack: +5 to hit, reach 5 ft., one target. Hit: 6 (1d6+3) piercing damage.</t>
  </si>
  <si>
    <t>Melee Weapon Attack: +5 to hit, reach 5 ft., one target. Hit: 10 (2d6+3) slashing damage.</t>
  </si>
  <si>
    <t>Melee Weapon Attack: +5 to hit, reach 5 ft., one target. Hit: 8 (2d4+3) bludgeoning damage.</t>
  </si>
  <si>
    <t>Melee Weapon Attack: +5 to hit, reach 5 ft., one target. Hit: 10 (2d6+3) piercing damage.</t>
  </si>
  <si>
    <t>Melee Weapon Attack: +4 to hit, reach 5 ft., one target. Hit: 6 (1d8+2) piercing damage.</t>
  </si>
  <si>
    <t>Melee Weapon Attack: +3 to hit, reach 5 ft., one target. Hit: 8 (2d6+1) slashing damage.</t>
  </si>
  <si>
    <t>Melee Weapon Attack: +6 to hit, reach 10 ft., one target. Hit: 6 (1d4+4) piercing damage, and the target must make a DC 11 Constitution saving throw, taking 10 (3d6) poison damage on a failed save, or half as much damage on a successful one.</t>
  </si>
  <si>
    <t>Melee Weapon Attack: +3 to hit, reach 5 ft., one target. Hit: 4 (1d6+1) bludgeoning damage.</t>
  </si>
  <si>
    <t>Melee Weapon Attack: +5 to hit, reach 5 ft., one creature. Hit: 7 (1d8+3) piercing damage, and the target must make a DC 11 Constitution saving throw, taking 9 (2d8) poison damage on a failed save, or half as much damage on a successful one. If the poison damage reduces the target to 0 hit points, the target is stable but poisoned for 1 hour, even after regaining hit points, and is paralyzed while poisoned in this way.</t>
  </si>
  <si>
    <t>Melee Weapon Attack: +4 to hit, reach 5 ft., one target. Hit: 7 (2d4+2) piercing damage.</t>
  </si>
  <si>
    <t>Melee Weapon Attack: +4 to hit, reach 5 ft., one target. Hit: 9 (2d6+2) slashing damage.</t>
  </si>
  <si>
    <t>Sting. Melee Weapon Attack: +4 to hit, reach 5 ft., one creature. Hit: 5 (1d6+2) piercing damage, and the target must make a DC 11 Constitution saving throw, taking 10 (3d6) poison damage on a failed save, or half as much damage on a successful one. If the poison damage reduces the target to 0 hit points, the target is stable but poisoned for 1 hour, even after regaining hit points, and is paralyzed while poisoned in this way.</t>
  </si>
  <si>
    <t>Weapon Attack: +5 to hit, reach 5 ft., one target. Hit: 5 (1d4+3) piercing damage.</t>
  </si>
  <si>
    <t>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t>
  </si>
  <si>
    <t>Melee Weapon Attack: +3 to hit, reach 5 ft., one target. Hit: 3 (1d4+1) bludgeoning damage.</t>
  </si>
  <si>
    <t>Melee Weapon Attack: +5 to hit, reach 5 ft., one target. Hit: 7 (1d8+3) piercing damage.</t>
  </si>
  <si>
    <t>Melee Weapon Attack: +5 to hit, reach 5 ft., one target. Hit: 6 (1d6+3) slashing damage.</t>
  </si>
  <si>
    <t>Melee Weapon Attack: +3 to hit, reach 5 ft., one target. Hit: 4 (1d6+1) piercing damage. If the target is a creature, it must succeed on a DC 11 Strength saving throw or be knocked prone.</t>
  </si>
  <si>
    <t>Melee Weapon Attack: +2 to hit, reach 5 ft., one target. Hit: 4 (1d4+2) bludgeoning damage.</t>
  </si>
  <si>
    <t>Melee Weapon Attack: +4 to hit, reach 5 ft., one target. Hit: 5 (1d6+2) piercing damage.</t>
  </si>
  <si>
    <t>Melee Weapon Attack: +4 to hit, reach 5 ft., one target. Hit: 7 (2d4+2) bludgeoning damage.</t>
  </si>
  <si>
    <t>Melee Weapon Attack: +3 to hit, reach 5 ft., one target. Hit: 6 (2d4+1) piercing damage</t>
  </si>
  <si>
    <t>Melee Weapon Attack: +2 to hit, reach 5 ft., one target. Hit: 8 (2d4+3) bludgeoning damage.</t>
  </si>
  <si>
    <t>Melee Weapon Attack: +5 to hit, reach 5 ft., one target. Hit: 8 (1d10+3) piercing damage.</t>
  </si>
  <si>
    <t>Melee Weapon Attack: +5 to hit, reach 5 ft., one target. Hit: 7 (1d8+3) slashing damage.</t>
  </si>
  <si>
    <t>Melee Weapon Attack: +4 to hit, reach 5 ft., one target. Hit: 11 (2d6+4) bludgeoning damage.</t>
  </si>
  <si>
    <t>Melee Weapon Attack: +4 to hit, reach 5 ft., one target. Hit: 7 (2d4+2) piercing damage. If the target is a creature, it must succeed on a DC 11 Strength saving throw or be knocked prone.</t>
  </si>
  <si>
    <t>The hawk has advantage on an attack roll against a creature if at least one of the hawk's allies is within 5 feet of the creature and the ally isn't incapacitated.</t>
  </si>
  <si>
    <t>Melee Weapon Attack: +4 to hit, reach 5 ft., one creature. Hit: 6 (1d8+2) bludgeoning damage, and the target is grappled (escape DC 14). Until this grapple ends, the creature is restrained, and the snake can't constrict another target.</t>
  </si>
  <si>
    <t>Melee Weapon Attack: +4 to hit, reach 5 ft., one creature. Hit: 7 (1d10+2) piercing damage, and the target is grappled (escape DC 12). Until this grapple ends, the target is restrained, and the crocodile can't bite another target</t>
  </si>
  <si>
    <t>The wolf has advantage on an attack roll against a creature if at least one of the wolf's allies is within 5 feet of the creature and the ally isn't incapacitated.</t>
  </si>
  <si>
    <t>The frog's long jump is up to 10 feet and its high jump is up to 5 feet, with or without a running start.</t>
  </si>
  <si>
    <t>The frog's long jump is up to 20 feet and its high jump is up to 10 feet, with or without a running start.</t>
  </si>
  <si>
    <t>The rat has advantage on an attack roll against a creature if at least one of the rat's allies is within 5 feet of the creature and the ally isn't incapacitated.</t>
  </si>
  <si>
    <t>The vulture has advantage on an attack roll against a creature if at least one of the vulture's allies is within 5 feet of the creature and the ally isn't incapacitated.</t>
  </si>
  <si>
    <t>The jackal has advantage on an attack roll against a creature if at least one of the jackal's allies is within 5 feet of the creature and the ally isn't incapacitated.</t>
  </si>
  <si>
    <t>The lion has advantage on an attack roll against a creature if at least one of the lion's allies is within 5 feet of the creature and the ally isn't incapacitated.</t>
  </si>
  <si>
    <t>Melee Weapon Attack: +3 to hit, reach 5 ft., one target. Hit: 4 (1d6+1) piercing damage, and the target is grappled (escape DC 11). Until this grapple ends, the target is restrained, and the frog can't bite another target.</t>
  </si>
  <si>
    <t>The frog makes one bite attack against a Small or smaller target it is grappling. If the attack hits, the target is swallowed, and the grapple ends. The swallowed target is blinded and restrained, it has total cover against attacks and other effects outside the frog, and it takes 5 (2d4) acid damage at the start of each of the frog's turns. The frog can have only one target swallowed at a time. If the frog dies, a swallowed creature is no longer restrained by it and can escape from the corpse using 5 feet of movement, exiting prone.</t>
  </si>
  <si>
    <t>Melee Weapon Attack: +5 to hit, reach 15 ft., one target. Hit: 10 (2d6+3) bludgeoning damage. If the target is a creature, it is grappled (escape DC 16). Until this grapple ends, the target is restrained, and the octopus can't use its tentacles on another target.</t>
  </si>
  <si>
    <t>Melee Weapon Attack: +4 to hit, reach 5 ft., one target. Hit: 1 bludgeoning damage, and the target is grappled (escape DC 10). Until this grapple ends, the octopus can't use its tentacles on another target.</t>
  </si>
  <si>
    <t>The baboon has advantage on an attack roll against a creature if at least one of the baboon's allies is within 5 feet of the creature and the ally isn't incapacitated.</t>
  </si>
  <si>
    <t>The bat can't use its blindsight while deafened.</t>
  </si>
  <si>
    <t>The snake doesn't provoke opportunity attacks when it flies out of an enemy's reach.</t>
  </si>
  <si>
    <t>The owl doesn't provoke opportunity attacks when it flies out of an enemy's reach.</t>
  </si>
  <si>
    <t>The hyena has advantage on an attack roll against a creature if at least one of the hyena's allies is within 5 feet of the creature and the ally isn't incapacitated.</t>
  </si>
  <si>
    <t>The pteranodon doesn't provoke opportunity attacks when it flies out of an enemy's reach.</t>
  </si>
  <si>
    <t>The quipper has advantage on melee attack rolls against any creature that doesn't have all its hit points.</t>
  </si>
  <si>
    <t>The shark has advantage on an attack roll against a creature if at least one of the shark's allies is within 5 feet of the creature and the ally isn't incapacitated.</t>
  </si>
  <si>
    <t>The shark has advantage on melee attack rolls against any creature that doesn't have all its hit points.</t>
  </si>
  <si>
    <t>The whale can't use its blindsight while deafened.</t>
  </si>
  <si>
    <t>The elemental can enter a hostile creature's space and stop there. It can move through a space as narrow as 1 inch wide without squeezing.</t>
  </si>
  <si>
    <t>The elemental can burrow through nonmagical, unworked earth and stone. While doing so, the elemental doesn't disturb the material it moves through.</t>
  </si>
  <si>
    <t>The elemental can move through a space as narrow as 1 inch wide without squeezing. A creature that touches the elemental or hits it with a melee attack while within 5 feet of it takes 5 (1d10) fire damage. In addition, the elemental can enter a hostile creature's space and stop there. The first time it enters a creature's space on a turn, that creature takes 5 (1d10) fire damage and catches fire; until someone takes an action to douse the fire, the creature takes 5 (1d10) fire damage at the start of each of its turns.</t>
  </si>
  <si>
    <t>Melee Weapon Attack: +6 to hit, reach 5 ft., one creature. Hit: 13 (2d8 + 4) bludgeoning damage, and the target is grappled (escape DC 16). Until this grapple ends, the creature is restrained, and the snake can't constrict another target.</t>
  </si>
  <si>
    <t>Melee Weapon Attack: +8 to hit, reach 5 ft., one target. Hit: 21 (3d10 + 5) piercing damage, and the target is grappled (escape DC 16). Until this grapple ends, the target is restrained, and the crocodile can't bite another target.</t>
  </si>
  <si>
    <t>Each creature in the elemental's space must make a DC 15 Strength saving throw. On a failure, a target takes 13 (2d8 + 4) bludgeoning damage. If it is Large or smaller, it is also grappled (escape DC 14). Until this grapple ends, the target is restrained and unable to breathe unless it can breathe water. If the saving throw is successful, the target is pushed out of the elemental's space.&lt;/text&gt;&lt;text&gt;The elemental can grapple one Large creature or up to two Medium or smaller creatures at one time. At the start of each of the elemental's turns, each target grappled by it takes 13 (2d8 + 4) bludgeoning damage. A creature within 5 feet of the elemental can pull a creature or object out of it by taking an action to make a DC 14 Strength and succeeding.</t>
  </si>
  <si>
    <t>Melee Weapon Attack: +1 to hit, reach 5 ft., one target. Hit: 1 (1d4 - 1) piercing damage.</t>
  </si>
  <si>
    <t>Melee Weapon Attack: +1 to hit, reach 5 ft., one target. Hit: 2 (1d6 - 1) slashing damage.</t>
  </si>
  <si>
    <t>Giant Weasel</t>
  </si>
  <si>
    <t>Circle of the Moon</t>
  </si>
  <si>
    <t>COTM CR Level</t>
  </si>
  <si>
    <t>COTL CR Level</t>
  </si>
  <si>
    <t>Whirlwind (Recharge 4-6)</t>
  </si>
  <si>
    <t>Each creature in the elemental's space must make a DC 13 Strength saving throw. On a failure, a target takes 15 (3d8+2) bludgeoning damage and is flung up 20 feet away from the elemental in a random direction and knocked prone. If a thrown target strikes an object, such as a wall or floor, the target takes 3 (1d6) bludgeoning damage for every 10 feet it was thrown. If the target is thrown at another creature, that creature must succeed on a DC 13 Dexterity saving throw or take the same damage and be knocked prone.&lt;/text&gt;&lt;text&gt; If the saving throw is successful, the target takes half the bludgeoning damage and isn't flung away or knocked prone.</t>
  </si>
  <si>
    <t>The toad makes one bite attack against a Medium or smaller target it is grappling. If the attack hits, the target is swallowed, and the grapple ends. The swallowed target is blinded and restrained, it has total cover against attacks and other effects outside the toad, and it takes 10 (3d6) acid damage at the start of each of the toad's turns. The toad can have only one target swallowed at a time.&lt;/text&gt;&lt;text&gt; If the toad dies, a swallowed creature is no longer restrained by it and can escape from the corpse using 5 feet of movement, exiting prone.</t>
  </si>
  <si>
    <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t>
  </si>
  <si>
    <t>Cave Bear</t>
  </si>
  <si>
    <t>Instructions:
Fill in your druid's level, mental ability scores, alignment, and proficient saves and skills (total bonus).  If you are a Circle of the Moon druid, check the checkbox.  Click the "Create File" button to create your XML file.</t>
  </si>
  <si>
    <t>Giant Fly</t>
  </si>
  <si>
    <t>0</t>
  </si>
  <si>
    <t>Swim</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</si>
</sst>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Helvetica"/>
    </font>
    <font>
      <u/>
      <sz val="12"/>
      <color theme="10"/>
      <name val="Calibri"/>
      <family val="2"/>
      <scheme val="minor"/>
    </font>
    <font>
      <u/>
      <sz val="12"/>
      <color theme="11"/>
      <name val="Calibri"/>
      <family val="2"/>
      <scheme val="minor"/>
    </font>
    <font>
      <sz val="10"/>
      <color theme="1"/>
      <name val="Helvetica"/>
    </font>
    <font>
      <sz val="10"/>
      <color rgb="FF000000"/>
      <name val="Arial"/>
    </font>
    <font>
      <b/>
      <sz val="12"/>
      <color theme="0"/>
      <name val="Calibri"/>
      <family val="2"/>
      <scheme val="minor"/>
    </font>
    <font>
      <sz val="10"/>
      <color theme="0"/>
      <name val="Helvetica"/>
    </font>
    <font>
      <b/>
      <sz val="10"/>
      <color theme="0"/>
      <name val="Helvetica"/>
    </font>
    <font>
      <sz val="12"/>
      <color theme="0"/>
      <name val="Calibri"/>
      <family val="2"/>
      <scheme val="minor"/>
    </font>
    <font>
      <sz val="12"/>
      <color rgb="FF000000"/>
      <name val="Lucida Grande"/>
    </font>
  </fonts>
  <fills count="5">
    <fill>
      <patternFill patternType="none"/>
    </fill>
    <fill>
      <patternFill patternType="gray125"/>
    </fill>
    <fill>
      <patternFill patternType="solid">
        <fgColor theme="7" tint="0.79998168889431442"/>
        <bgColor indexed="64"/>
      </patternFill>
    </fill>
    <fill>
      <patternFill patternType="solid">
        <fgColor theme="3" tint="0.59999389629810485"/>
        <bgColor indexed="64"/>
      </patternFill>
    </fill>
    <fill>
      <patternFill patternType="solid">
        <fgColor theme="3" tint="0.79998168889431442"/>
        <bgColor indexed="64"/>
      </patternFill>
    </fill>
  </fills>
  <borders count="16">
    <border>
      <left/>
      <right/>
      <top/>
      <bottom/>
      <diagonal/>
    </border>
    <border>
      <left/>
      <right style="thin">
        <color auto="1"/>
      </right>
      <top/>
      <bottom/>
      <diagonal/>
    </border>
    <border>
      <left style="thin">
        <color auto="1"/>
      </left>
      <right/>
      <top/>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bottom/>
      <diagonal/>
    </border>
    <border>
      <left/>
      <right style="medium">
        <color auto="1"/>
      </right>
      <top/>
      <bottom/>
      <diagonal/>
    </border>
  </borders>
  <cellStyleXfs count="66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79">
    <xf numFmtId="0" fontId="0" fillId="0" borderId="0" xfId="0"/>
    <xf numFmtId="0" fontId="3" fillId="0" borderId="0" xfId="0" applyFont="1" applyAlignment="1">
      <alignment horizontal="left"/>
    </xf>
    <xf numFmtId="49" fontId="3" fillId="0" borderId="0" xfId="0" applyNumberFormat="1" applyFont="1" applyAlignment="1">
      <alignment horizontal="left"/>
    </xf>
    <xf numFmtId="0" fontId="6" fillId="0" borderId="0" xfId="0" applyFont="1" applyAlignment="1">
      <alignment horizontal="left"/>
    </xf>
    <xf numFmtId="49" fontId="6" fillId="0" borderId="0" xfId="0" applyNumberFormat="1" applyFont="1" applyAlignment="1">
      <alignment horizontal="left"/>
    </xf>
    <xf numFmtId="49" fontId="7" fillId="0" borderId="0" xfId="0" applyNumberFormat="1" applyFont="1" applyAlignment="1">
      <alignment horizontal="left"/>
    </xf>
    <xf numFmtId="2" fontId="3" fillId="0" borderId="0" xfId="0" applyNumberFormat="1" applyFont="1" applyAlignment="1">
      <alignment horizontal="left"/>
    </xf>
    <xf numFmtId="2" fontId="6" fillId="0" borderId="0" xfId="0" applyNumberFormat="1" applyFont="1" applyAlignment="1">
      <alignment horizontal="left"/>
    </xf>
    <xf numFmtId="0" fontId="6" fillId="0" borderId="1" xfId="0" applyFont="1" applyBorder="1" applyAlignment="1">
      <alignment horizontal="left"/>
    </xf>
    <xf numFmtId="0" fontId="6" fillId="0" borderId="0" xfId="0" applyFont="1" applyBorder="1" applyAlignment="1">
      <alignment horizontal="left"/>
    </xf>
    <xf numFmtId="0" fontId="3" fillId="2" borderId="0" xfId="0" applyFont="1" applyFill="1" applyAlignment="1">
      <alignment horizontal="left"/>
    </xf>
    <xf numFmtId="0" fontId="6" fillId="2" borderId="0" xfId="0" applyFont="1" applyFill="1" applyAlignment="1">
      <alignment horizontal="left"/>
    </xf>
    <xf numFmtId="0" fontId="3" fillId="0" borderId="0" xfId="0" applyFont="1" applyBorder="1" applyAlignment="1">
      <alignment horizontal="left"/>
    </xf>
    <xf numFmtId="0" fontId="0" fillId="0" borderId="0" xfId="0" applyAlignment="1">
      <alignment horizontal="center"/>
    </xf>
    <xf numFmtId="9" fontId="0" fillId="0" borderId="0" xfId="541" applyFont="1"/>
    <xf numFmtId="0" fontId="8" fillId="3" borderId="0" xfId="0" applyFont="1" applyFill="1" applyAlignment="1">
      <alignment horizontal="center"/>
    </xf>
    <xf numFmtId="9" fontId="0" fillId="0" borderId="0" xfId="541" applyFont="1" applyBorder="1" applyAlignment="1">
      <alignment horizontal="center"/>
    </xf>
    <xf numFmtId="9" fontId="0" fillId="0" borderId="2" xfId="541" applyFont="1" applyBorder="1"/>
    <xf numFmtId="9" fontId="0" fillId="0" borderId="0" xfId="541" applyFont="1" applyBorder="1"/>
    <xf numFmtId="9" fontId="0" fillId="0" borderId="1" xfId="541" applyFont="1" applyBorder="1"/>
    <xf numFmtId="0" fontId="8" fillId="3" borderId="8" xfId="0" applyFont="1" applyFill="1" applyBorder="1" applyAlignment="1">
      <alignment horizontal="center"/>
    </xf>
    <xf numFmtId="9" fontId="8" fillId="3" borderId="8" xfId="541" applyFont="1" applyFill="1" applyBorder="1" applyAlignment="1">
      <alignment horizontal="center"/>
    </xf>
    <xf numFmtId="9" fontId="8" fillId="3" borderId="10" xfId="541" applyFont="1" applyFill="1" applyBorder="1" applyAlignment="1">
      <alignment horizontal="center"/>
    </xf>
    <xf numFmtId="9" fontId="8" fillId="0" borderId="0" xfId="541" applyFont="1" applyFill="1" applyBorder="1" applyAlignment="1">
      <alignment horizontal="center"/>
    </xf>
    <xf numFmtId="9" fontId="8" fillId="3" borderId="7" xfId="541" applyFont="1" applyFill="1" applyBorder="1" applyAlignment="1">
      <alignment horizontal="center"/>
    </xf>
    <xf numFmtId="0" fontId="8" fillId="3" borderId="7" xfId="0" applyFont="1" applyFill="1" applyBorder="1" applyAlignment="1">
      <alignment horizontal="center"/>
    </xf>
    <xf numFmtId="0" fontId="8" fillId="3" borderId="10" xfId="0" applyFont="1" applyFill="1" applyBorder="1" applyAlignment="1">
      <alignment horizontal="center"/>
    </xf>
    <xf numFmtId="0" fontId="10" fillId="3" borderId="4" xfId="0" applyFont="1" applyFill="1" applyBorder="1" applyAlignment="1">
      <alignment horizontal="center"/>
    </xf>
    <xf numFmtId="2" fontId="9" fillId="3" borderId="4" xfId="0" applyNumberFormat="1" applyFont="1" applyFill="1" applyBorder="1" applyAlignment="1">
      <alignment horizontal="center"/>
    </xf>
    <xf numFmtId="0" fontId="9" fillId="3" borderId="4" xfId="0" applyFont="1" applyFill="1" applyBorder="1" applyAlignment="1">
      <alignment horizontal="center"/>
    </xf>
    <xf numFmtId="0" fontId="10" fillId="3" borderId="8" xfId="0" applyFont="1" applyFill="1" applyBorder="1" applyAlignment="1">
      <alignment horizontal="center"/>
    </xf>
    <xf numFmtId="0" fontId="10" fillId="3" borderId="8" xfId="0" applyFont="1" applyFill="1" applyBorder="1" applyAlignment="1">
      <alignment horizontal="center" wrapText="1"/>
    </xf>
    <xf numFmtId="0" fontId="10" fillId="3" borderId="9" xfId="0" applyFont="1" applyFill="1" applyBorder="1" applyAlignment="1">
      <alignment horizontal="center" wrapText="1"/>
    </xf>
    <xf numFmtId="2" fontId="10" fillId="3" borderId="8" xfId="0" applyNumberFormat="1" applyFont="1" applyFill="1" applyBorder="1" applyAlignment="1">
      <alignment horizontal="center"/>
    </xf>
    <xf numFmtId="0" fontId="9" fillId="3" borderId="8" xfId="0" applyFont="1" applyFill="1" applyBorder="1" applyAlignment="1">
      <alignment horizontal="center"/>
    </xf>
    <xf numFmtId="9" fontId="8" fillId="3" borderId="0" xfId="541" applyFont="1" applyFill="1" applyBorder="1" applyAlignment="1">
      <alignment horizontal="center"/>
    </xf>
    <xf numFmtId="1" fontId="0" fillId="0" borderId="0" xfId="541" applyNumberFormat="1" applyFont="1" applyBorder="1" applyAlignment="1">
      <alignment horizontal="center"/>
    </xf>
    <xf numFmtId="0" fontId="0" fillId="0" borderId="7" xfId="0" applyBorder="1" applyAlignment="1" applyProtection="1">
      <alignment horizontal="center"/>
      <protection locked="0"/>
    </xf>
    <xf numFmtId="0" fontId="11" fillId="0" borderId="7" xfId="0" applyFont="1" applyBorder="1" applyAlignment="1" applyProtection="1">
      <alignment horizontal="center"/>
      <protection locked="0"/>
    </xf>
    <xf numFmtId="0" fontId="0" fillId="0" borderId="8"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1" xfId="0" applyBorder="1" applyAlignment="1" applyProtection="1">
      <alignment horizontal="center"/>
      <protection locked="0"/>
    </xf>
    <xf numFmtId="1" fontId="0" fillId="0" borderId="7" xfId="541" applyNumberFormat="1" applyFont="1" applyBorder="1" applyAlignment="1" applyProtection="1">
      <alignment horizontal="center"/>
      <protection locked="0"/>
    </xf>
    <xf numFmtId="1" fontId="0" fillId="0" borderId="8" xfId="541" applyNumberFormat="1" applyFont="1" applyBorder="1" applyAlignment="1" applyProtection="1">
      <alignment horizontal="center"/>
      <protection locked="0"/>
    </xf>
    <xf numFmtId="1" fontId="1" fillId="0" borderId="8" xfId="541" applyNumberFormat="1" applyFont="1" applyBorder="1" applyAlignment="1" applyProtection="1">
      <alignment horizontal="left"/>
      <protection locked="0"/>
    </xf>
    <xf numFmtId="1" fontId="0" fillId="0" borderId="10" xfId="541" applyNumberFormat="1" applyFont="1" applyBorder="1" applyAlignment="1" applyProtection="1">
      <alignment horizontal="center"/>
      <protection locked="0"/>
    </xf>
    <xf numFmtId="0" fontId="0" fillId="4" borderId="3" xfId="0" applyFill="1" applyBorder="1" applyAlignment="1">
      <alignment horizontal="left" vertical="top" wrapText="1"/>
    </xf>
    <xf numFmtId="0" fontId="0" fillId="4" borderId="4" xfId="0" applyFill="1" applyBorder="1" applyAlignment="1">
      <alignment horizontal="left" vertical="top" wrapText="1"/>
    </xf>
    <xf numFmtId="0" fontId="0" fillId="4" borderId="6" xfId="0" applyFill="1" applyBorder="1" applyAlignment="1">
      <alignment horizontal="left" vertical="top" wrapText="1"/>
    </xf>
    <xf numFmtId="0" fontId="0" fillId="4" borderId="14" xfId="0" applyFill="1" applyBorder="1" applyAlignment="1">
      <alignment horizontal="left" vertical="top" wrapText="1"/>
    </xf>
    <xf numFmtId="0" fontId="0" fillId="4" borderId="0" xfId="0" applyFill="1" applyBorder="1" applyAlignment="1">
      <alignment horizontal="left" vertical="top" wrapText="1"/>
    </xf>
    <xf numFmtId="0" fontId="0" fillId="4" borderId="15" xfId="0" applyFill="1" applyBorder="1" applyAlignment="1">
      <alignment horizontal="left" vertical="top" wrapText="1"/>
    </xf>
    <xf numFmtId="0" fontId="0" fillId="4" borderId="7" xfId="0" applyFill="1" applyBorder="1" applyAlignment="1">
      <alignment horizontal="left" vertical="top" wrapText="1"/>
    </xf>
    <xf numFmtId="0" fontId="0" fillId="4" borderId="8" xfId="0" applyFill="1" applyBorder="1" applyAlignment="1">
      <alignment horizontal="left" vertical="top" wrapText="1"/>
    </xf>
    <xf numFmtId="0" fontId="0" fillId="4" borderId="10" xfId="0" applyFill="1" applyBorder="1" applyAlignment="1">
      <alignment horizontal="left" vertical="top" wrapText="1"/>
    </xf>
    <xf numFmtId="0" fontId="8" fillId="3" borderId="3" xfId="0" applyFont="1" applyFill="1" applyBorder="1" applyAlignment="1">
      <alignment horizontal="center"/>
    </xf>
    <xf numFmtId="0" fontId="8" fillId="3" borderId="7" xfId="0" applyFont="1" applyFill="1" applyBorder="1" applyAlignment="1">
      <alignment horizontal="center"/>
    </xf>
    <xf numFmtId="0" fontId="8" fillId="3" borderId="4" xfId="0" applyFont="1" applyFill="1" applyBorder="1" applyAlignment="1">
      <alignment horizontal="center"/>
    </xf>
    <xf numFmtId="0" fontId="8" fillId="3" borderId="6" xfId="0" applyFont="1" applyFill="1" applyBorder="1" applyAlignment="1">
      <alignment horizontal="center"/>
    </xf>
    <xf numFmtId="9" fontId="8" fillId="3" borderId="3" xfId="541" applyFont="1" applyFill="1" applyBorder="1" applyAlignment="1">
      <alignment horizontal="center"/>
    </xf>
    <xf numFmtId="9" fontId="8" fillId="3" borderId="4" xfId="541" applyFont="1" applyFill="1" applyBorder="1" applyAlignment="1">
      <alignment horizontal="center"/>
    </xf>
    <xf numFmtId="9" fontId="8" fillId="3" borderId="6" xfId="541" applyFont="1" applyFill="1" applyBorder="1" applyAlignment="1">
      <alignment horizontal="center"/>
    </xf>
    <xf numFmtId="0" fontId="8" fillId="3" borderId="12" xfId="0" applyFont="1" applyFill="1" applyBorder="1" applyAlignment="1">
      <alignment horizontal="center"/>
    </xf>
    <xf numFmtId="0" fontId="8" fillId="3" borderId="13" xfId="0" applyFont="1" applyFill="1" applyBorder="1" applyAlignment="1">
      <alignment horizontal="center"/>
    </xf>
    <xf numFmtId="0" fontId="8" fillId="3" borderId="12" xfId="0" applyFont="1" applyFill="1" applyBorder="1" applyAlignment="1">
      <alignment horizontal="center" wrapText="1"/>
    </xf>
    <xf numFmtId="0" fontId="8" fillId="3" borderId="13" xfId="0" applyFont="1" applyFill="1" applyBorder="1" applyAlignment="1">
      <alignment horizontal="center" wrapText="1"/>
    </xf>
    <xf numFmtId="0" fontId="10" fillId="3" borderId="4" xfId="0" applyFont="1" applyFill="1" applyBorder="1" applyAlignment="1">
      <alignment horizontal="center"/>
    </xf>
    <xf numFmtId="0" fontId="10" fillId="3" borderId="8" xfId="0" applyFont="1" applyFill="1" applyBorder="1" applyAlignment="1">
      <alignment horizontal="center"/>
    </xf>
    <xf numFmtId="0" fontId="9" fillId="3" borderId="4" xfId="0" applyFont="1" applyFill="1" applyBorder="1" applyAlignment="1">
      <alignment horizontal="center"/>
    </xf>
    <xf numFmtId="0" fontId="9" fillId="3" borderId="8" xfId="0" applyFont="1" applyFill="1" applyBorder="1" applyAlignment="1">
      <alignment horizontal="center"/>
    </xf>
    <xf numFmtId="0" fontId="10" fillId="3" borderId="5" xfId="0" applyFont="1" applyFill="1" applyBorder="1" applyAlignment="1">
      <alignment horizontal="center"/>
    </xf>
    <xf numFmtId="0" fontId="10" fillId="3" borderId="4" xfId="0" applyFont="1" applyFill="1" applyBorder="1" applyAlignment="1">
      <alignment horizontal="center" wrapText="1"/>
    </xf>
    <xf numFmtId="0" fontId="10" fillId="3" borderId="8" xfId="0" applyFont="1" applyFill="1" applyBorder="1" applyAlignment="1">
      <alignment horizontal="center" wrapText="1"/>
    </xf>
    <xf numFmtId="2" fontId="10" fillId="3" borderId="4" xfId="0" applyNumberFormat="1" applyFont="1" applyFill="1" applyBorder="1" applyAlignment="1">
      <alignment horizontal="center" wrapText="1"/>
    </xf>
    <xf numFmtId="2" fontId="10" fillId="3" borderId="8" xfId="0" applyNumberFormat="1" applyFont="1" applyFill="1" applyBorder="1" applyAlignment="1">
      <alignment horizontal="center" wrapText="1"/>
    </xf>
    <xf numFmtId="0" fontId="10" fillId="3" borderId="3" xfId="0" applyFont="1" applyFill="1" applyBorder="1" applyAlignment="1">
      <alignment horizontal="center"/>
    </xf>
    <xf numFmtId="0" fontId="10" fillId="3" borderId="7" xfId="0" applyFont="1" applyFill="1" applyBorder="1" applyAlignment="1">
      <alignment horizontal="center"/>
    </xf>
    <xf numFmtId="49" fontId="10" fillId="3" borderId="4" xfId="0" applyNumberFormat="1" applyFont="1" applyFill="1" applyBorder="1" applyAlignment="1">
      <alignment horizontal="center"/>
    </xf>
    <xf numFmtId="49" fontId="10" fillId="3" borderId="8" xfId="0" applyNumberFormat="1" applyFont="1" applyFill="1" applyBorder="1" applyAlignment="1">
      <alignment horizontal="center"/>
    </xf>
  </cellXfs>
  <cellStyles count="66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Normal" xfId="0" builtinId="0"/>
    <cellStyle name="Percent" xfId="541" builtinId="5"/>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CheckBox" fmlaLink="B3" lockText="1" noThreeD="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279400</xdr:colOff>
          <xdr:row>1</xdr:row>
          <xdr:rowOff>190500</xdr:rowOff>
        </xdr:from>
        <xdr:to>
          <xdr:col>1</xdr:col>
          <xdr:colOff>673100</xdr:colOff>
          <xdr:row>3</xdr:row>
          <xdr:rowOff>0</xdr:rowOff>
        </xdr:to>
        <xdr:sp macro="" textlink="">
          <xdr:nvSpPr>
            <xdr:cNvPr id="1025" name="Check Box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127000</xdr:rowOff>
        </xdr:from>
        <xdr:to>
          <xdr:col>12</xdr:col>
          <xdr:colOff>698500</xdr:colOff>
          <xdr:row>7</xdr:row>
          <xdr:rowOff>127000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F8"/>
  <sheetViews>
    <sheetView tabSelected="1" zoomScale="150" zoomScaleNormal="150" zoomScalePageLayoutView="150" workbookViewId="0">
      <selection activeCell="A3" sqref="A3:AD3"/>
    </sheetView>
  </sheetViews>
  <sheetFormatPr baseColWidth="10" defaultColWidth="0" defaultRowHeight="15" zeroHeight="1" x14ac:dyDescent="0"/>
  <cols>
    <col min="1" max="1" width="5.5" bestFit="1" customWidth="1"/>
    <col min="2" max="2" width="9.1640625" customWidth="1"/>
    <col min="3" max="5" width="5.5" customWidth="1"/>
    <col min="6" max="6" width="15.6640625" customWidth="1"/>
    <col min="7" max="7" width="3.6640625" bestFit="1" customWidth="1"/>
    <col min="8" max="9" width="4.5" bestFit="1" customWidth="1"/>
    <col min="10" max="10" width="3.5" bestFit="1" customWidth="1"/>
    <col min="11" max="12" width="4.33203125" bestFit="1" customWidth="1"/>
    <col min="13" max="13" width="10" style="17" bestFit="1" customWidth="1"/>
    <col min="14" max="14" width="14.5" style="18" bestFit="1" customWidth="1"/>
    <col min="15" max="15" width="7.1640625" style="18" bestFit="1" customWidth="1"/>
    <col min="16" max="16" width="8.5" style="18" bestFit="1" customWidth="1"/>
    <col min="17" max="17" width="9.83203125" style="18" bestFit="1" customWidth="1"/>
    <col min="18" max="18" width="7.1640625" style="18" bestFit="1" customWidth="1"/>
    <col min="19" max="19" width="6.83203125" style="18" bestFit="1" customWidth="1"/>
    <col min="20" max="20" width="11.5" style="18" bestFit="1" customWidth="1"/>
    <col min="21" max="21" width="12" style="18" bestFit="1" customWidth="1"/>
    <col min="22" max="22" width="9" style="18" bestFit="1" customWidth="1"/>
    <col min="23" max="23" width="7" style="18" bestFit="1" customWidth="1"/>
    <col min="24" max="24" width="10.33203125" style="18" bestFit="1" customWidth="1"/>
    <col min="25" max="25" width="12" style="18" bestFit="1" customWidth="1"/>
    <col min="26" max="26" width="10.33203125" style="18" bestFit="1" customWidth="1"/>
    <col min="27" max="27" width="8" style="18" bestFit="1" customWidth="1"/>
    <col min="28" max="28" width="14" style="18" bestFit="1" customWidth="1"/>
    <col min="29" max="29" width="7.1640625" style="18" bestFit="1" customWidth="1"/>
    <col min="30" max="30" width="7.83203125" style="19" bestFit="1" customWidth="1"/>
    <col min="31" max="31" width="59.83203125" style="18" hidden="1" customWidth="1"/>
    <col min="32" max="32" width="10.83203125" style="14" customWidth="1"/>
    <col min="33" max="16384" width="10.83203125" hidden="1"/>
  </cols>
  <sheetData>
    <row r="1" spans="1:32" s="15" customFormat="1">
      <c r="A1" s="55" t="s">
        <v>420</v>
      </c>
      <c r="B1" s="64" t="s">
        <v>511</v>
      </c>
      <c r="C1" s="55" t="s">
        <v>430</v>
      </c>
      <c r="D1" s="57"/>
      <c r="E1" s="58"/>
      <c r="F1" s="62" t="s">
        <v>109</v>
      </c>
      <c r="G1" s="57" t="s">
        <v>428</v>
      </c>
      <c r="H1" s="57"/>
      <c r="I1" s="57"/>
      <c r="J1" s="57"/>
      <c r="K1" s="57"/>
      <c r="L1" s="58"/>
      <c r="M1" s="59" t="s">
        <v>427</v>
      </c>
      <c r="N1" s="60"/>
      <c r="O1" s="60"/>
      <c r="P1" s="60"/>
      <c r="Q1" s="60"/>
      <c r="R1" s="60"/>
      <c r="S1" s="60"/>
      <c r="T1" s="60"/>
      <c r="U1" s="60"/>
      <c r="V1" s="60"/>
      <c r="W1" s="60"/>
      <c r="X1" s="60"/>
      <c r="Y1" s="60"/>
      <c r="Z1" s="60"/>
      <c r="AA1" s="60"/>
      <c r="AB1" s="60"/>
      <c r="AC1" s="60"/>
      <c r="AD1" s="61"/>
      <c r="AE1" s="35"/>
      <c r="AF1" s="23"/>
    </row>
    <row r="2" spans="1:32" s="15" customFormat="1" ht="16" thickBot="1">
      <c r="A2" s="56"/>
      <c r="B2" s="65" t="b">
        <v>1</v>
      </c>
      <c r="C2" s="25" t="s">
        <v>424</v>
      </c>
      <c r="D2" s="20" t="s">
        <v>425</v>
      </c>
      <c r="E2" s="26" t="s">
        <v>426</v>
      </c>
      <c r="F2" s="63"/>
      <c r="G2" s="20" t="s">
        <v>421</v>
      </c>
      <c r="H2" s="20" t="s">
        <v>422</v>
      </c>
      <c r="I2" s="20" t="s">
        <v>423</v>
      </c>
      <c r="J2" s="20" t="s">
        <v>424</v>
      </c>
      <c r="K2" s="20" t="s">
        <v>425</v>
      </c>
      <c r="L2" s="26" t="s">
        <v>426</v>
      </c>
      <c r="M2" s="24" t="s">
        <v>406</v>
      </c>
      <c r="N2" s="21" t="s">
        <v>429</v>
      </c>
      <c r="O2" s="21" t="s">
        <v>407</v>
      </c>
      <c r="P2" s="21" t="s">
        <v>263</v>
      </c>
      <c r="Q2" s="21" t="s">
        <v>408</v>
      </c>
      <c r="R2" s="21" t="s">
        <v>409</v>
      </c>
      <c r="S2" s="21" t="s">
        <v>410</v>
      </c>
      <c r="T2" s="21" t="s">
        <v>411</v>
      </c>
      <c r="U2" s="21" t="s">
        <v>412</v>
      </c>
      <c r="V2" s="21" t="s">
        <v>413</v>
      </c>
      <c r="W2" s="21" t="s">
        <v>414</v>
      </c>
      <c r="X2" s="21" t="s">
        <v>264</v>
      </c>
      <c r="Y2" s="21" t="s">
        <v>415</v>
      </c>
      <c r="Z2" s="21" t="s">
        <v>416</v>
      </c>
      <c r="AA2" s="21" t="s">
        <v>417</v>
      </c>
      <c r="AB2" s="21" t="s">
        <v>418</v>
      </c>
      <c r="AC2" s="21" t="s">
        <v>265</v>
      </c>
      <c r="AD2" s="22" t="s">
        <v>419</v>
      </c>
      <c r="AE2" s="35" t="str">
        <f>"&lt;?xml version=""1.0"" encoding=""UTF-8""?&gt;"&amp;CHAR(13)&amp;"&lt;bestiary version=""5""&gt;"</f>
        <v>&lt;?xml version="1.0" encoding="UTF-8"?&gt;_x000D_&lt;bestiary version="5"&gt;</v>
      </c>
      <c r="AF2" s="23"/>
    </row>
    <row r="3" spans="1:32" s="13" customFormat="1" ht="16" thickBot="1">
      <c r="A3" s="37"/>
      <c r="B3" s="38"/>
      <c r="C3" s="37"/>
      <c r="D3" s="39"/>
      <c r="E3" s="40"/>
      <c r="F3" s="41"/>
      <c r="G3" s="39"/>
      <c r="H3" s="39"/>
      <c r="I3" s="39"/>
      <c r="J3" s="39"/>
      <c r="K3" s="39"/>
      <c r="L3" s="40"/>
      <c r="M3" s="42"/>
      <c r="N3" s="43"/>
      <c r="O3" s="43"/>
      <c r="P3" s="43"/>
      <c r="Q3" s="44"/>
      <c r="R3" s="43"/>
      <c r="S3" s="43"/>
      <c r="T3" s="43"/>
      <c r="U3" s="43"/>
      <c r="V3" s="43"/>
      <c r="W3" s="43"/>
      <c r="X3" s="43"/>
      <c r="Y3" s="43"/>
      <c r="Z3" s="43"/>
      <c r="AA3" s="43"/>
      <c r="AB3" s="43"/>
      <c r="AC3" s="43"/>
      <c r="AD3" s="45"/>
      <c r="AE3" s="36" t="str">
        <f>"&lt;/bestiary&gt;"</f>
        <v>&lt;/bestiary&gt;</v>
      </c>
      <c r="AF3" s="16"/>
    </row>
    <row r="4" spans="1:32">
      <c r="A4" s="46" t="s">
        <v>519</v>
      </c>
      <c r="B4" s="47"/>
      <c r="C4" s="47"/>
      <c r="D4" s="47"/>
      <c r="E4" s="47"/>
      <c r="F4" s="47"/>
      <c r="G4" s="47"/>
      <c r="H4" s="47"/>
      <c r="I4" s="47"/>
      <c r="J4" s="47"/>
      <c r="K4" s="47"/>
      <c r="L4" s="47"/>
      <c r="M4" s="48"/>
    </row>
    <row r="5" spans="1:32">
      <c r="A5" s="49"/>
      <c r="B5" s="50"/>
      <c r="C5" s="50"/>
      <c r="D5" s="50"/>
      <c r="E5" s="50"/>
      <c r="F5" s="50"/>
      <c r="G5" s="50"/>
      <c r="H5" s="50"/>
      <c r="I5" s="50"/>
      <c r="J5" s="50"/>
      <c r="K5" s="50"/>
      <c r="L5" s="50"/>
      <c r="M5" s="51"/>
    </row>
    <row r="6" spans="1:32">
      <c r="A6" s="49"/>
      <c r="B6" s="50"/>
      <c r="C6" s="50"/>
      <c r="D6" s="50"/>
      <c r="E6" s="50"/>
      <c r="F6" s="50"/>
      <c r="G6" s="50"/>
      <c r="H6" s="50"/>
      <c r="I6" s="50"/>
      <c r="J6" s="50"/>
      <c r="K6" s="50"/>
      <c r="L6" s="50"/>
      <c r="M6" s="51"/>
    </row>
    <row r="7" spans="1:32">
      <c r="A7" s="49"/>
      <c r="B7" s="50"/>
      <c r="C7" s="50"/>
      <c r="D7" s="50"/>
      <c r="E7" s="50"/>
      <c r="F7" s="50"/>
      <c r="G7" s="50"/>
      <c r="H7" s="50"/>
      <c r="I7" s="50"/>
      <c r="J7" s="50"/>
      <c r="K7" s="50"/>
      <c r="L7" s="50"/>
      <c r="M7" s="51"/>
    </row>
    <row r="8" spans="1:32" ht="16" thickBot="1">
      <c r="A8" s="52"/>
      <c r="B8" s="53"/>
      <c r="C8" s="53"/>
      <c r="D8" s="53"/>
      <c r="E8" s="53"/>
      <c r="F8" s="53"/>
      <c r="G8" s="53"/>
      <c r="H8" s="53"/>
      <c r="I8" s="53"/>
      <c r="J8" s="53"/>
      <c r="K8" s="53"/>
      <c r="L8" s="53"/>
      <c r="M8" s="54"/>
    </row>
  </sheetData>
  <sheetProtection password="EA11" sheet="1" objects="1" scenarios="1" selectLockedCells="1"/>
  <mergeCells count="7">
    <mergeCell ref="A4:M8"/>
    <mergeCell ref="A1:A2"/>
    <mergeCell ref="G1:L1"/>
    <mergeCell ref="M1:AD1"/>
    <mergeCell ref="C1:E1"/>
    <mergeCell ref="F1:F2"/>
    <mergeCell ref="B1:B2"/>
  </mergeCells>
  <dataValidations count="2">
    <dataValidation type="whole" allowBlank="1" showInputMessage="1" showErrorMessage="1" sqref="A3:E3">
      <formula1>1</formula1>
      <formula2>20</formula2>
    </dataValidation>
    <dataValidation type="list" allowBlank="1" showInputMessage="1" showErrorMessage="1" sqref="F3">
      <formula1>"chaotic evil,neutral evil,lawful evil,chaotic neutral,neutral,lawful neutral,chaotic good,neutral good,lawful good"</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Check Box 1">
              <controlPr defaultSize="0" autoFill="0" autoLine="0" autoPict="0">
                <anchor moveWithCells="1">
                  <from>
                    <xdr:col>1</xdr:col>
                    <xdr:colOff>279400</xdr:colOff>
                    <xdr:row>1</xdr:row>
                    <xdr:rowOff>190500</xdr:rowOff>
                  </from>
                  <to>
                    <xdr:col>1</xdr:col>
                    <xdr:colOff>673100</xdr:colOff>
                    <xdr:row>3</xdr:row>
                    <xdr:rowOff>0</xdr:rowOff>
                  </to>
                </anchor>
              </controlPr>
            </control>
          </mc:Choice>
          <mc:Fallback/>
        </mc:AlternateContent>
        <mc:AlternateContent xmlns:mc="http://schemas.openxmlformats.org/markup-compatibility/2006">
          <mc:Choice Requires="x14">
            <control shapeId="1027" r:id="rId4" name="Button 3">
              <controlPr defaultSize="0" print="0" autoFill="0" autoPict="0" macro="[0]!ExportToXML">
                <anchor moveWithCells="1" sizeWithCells="1">
                  <from>
                    <xdr:col>8</xdr:col>
                    <xdr:colOff>0</xdr:colOff>
                    <xdr:row>6</xdr:row>
                    <xdr:rowOff>127000</xdr:rowOff>
                  </from>
                  <to>
                    <xdr:col>12</xdr:col>
                    <xdr:colOff>698500</xdr:colOff>
                    <xdr:row>7</xdr:row>
                    <xdr:rowOff>127000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DR101"/>
  <sheetViews>
    <sheetView zoomScale="150" zoomScaleNormal="150" zoomScalePageLayoutView="150" workbookViewId="0">
      <pane xSplit="12" ySplit="2" topLeftCell="M6" activePane="bottomRight" state="frozen"/>
      <selection pane="topRight" activeCell="E1" sqref="E1"/>
      <selection pane="bottomLeft" activeCell="A3" sqref="A3"/>
      <selection pane="bottomRight" activeCell="M24" sqref="M24"/>
    </sheetView>
  </sheetViews>
  <sheetFormatPr baseColWidth="10" defaultColWidth="0" defaultRowHeight="12" zeroHeight="1" x14ac:dyDescent="0"/>
  <cols>
    <col min="1" max="1" width="8.6640625" style="3" hidden="1" customWidth="1"/>
    <col min="2" max="2" width="6" style="3" hidden="1" customWidth="1"/>
    <col min="3" max="3" width="7.33203125" style="3" hidden="1" customWidth="1"/>
    <col min="4" max="4" width="1.5" style="3" hidden="1" customWidth="1"/>
    <col min="5" max="5" width="18.33203125" style="3" hidden="1" customWidth="1"/>
    <col min="6" max="6" width="11.33203125" style="3" hidden="1" customWidth="1"/>
    <col min="7" max="7" width="13.1640625" style="3" hidden="1" customWidth="1"/>
    <col min="8" max="8" width="21.1640625" style="3" hidden="1" customWidth="1"/>
    <col min="9" max="9" width="24" style="3" hidden="1" customWidth="1"/>
    <col min="10" max="11" width="12.1640625" style="3" hidden="1" customWidth="1"/>
    <col min="12" max="12" width="19.1640625" style="3" bestFit="1" customWidth="1"/>
    <col min="13" max="13" width="10.83203125" style="3" customWidth="1"/>
    <col min="14" max="14" width="12.83203125" style="3" hidden="1" customWidth="1"/>
    <col min="15" max="15" width="6.1640625" style="4" bestFit="1" customWidth="1"/>
    <col min="16" max="16" width="7.1640625" style="3" bestFit="1" customWidth="1"/>
    <col min="17" max="17" width="3.6640625" style="3" bestFit="1" customWidth="1"/>
    <col min="18" max="18" width="11.1640625" style="3" bestFit="1" customWidth="1"/>
    <col min="19" max="19" width="4.6640625" style="3" bestFit="1" customWidth="1"/>
    <col min="20" max="20" width="7.33203125" style="3" bestFit="1" customWidth="1"/>
    <col min="21" max="21" width="7.1640625" style="3" customWidth="1"/>
    <col min="22" max="22" width="6" style="3" bestFit="1" customWidth="1"/>
    <col min="23" max="23" width="3.6640625" style="3" bestFit="1" customWidth="1"/>
    <col min="24" max="24" width="5.6640625" style="3" bestFit="1" customWidth="1"/>
    <col min="25" max="26" width="4.6640625" style="3" bestFit="1" customWidth="1"/>
    <col min="27" max="27" width="5" style="3" bestFit="1" customWidth="1"/>
    <col min="28" max="28" width="4" style="3" hidden="1" customWidth="1"/>
    <col min="29" max="29" width="4.33203125" style="3" hidden="1" customWidth="1"/>
    <col min="30" max="30" width="4.83203125" style="3" hidden="1" customWidth="1"/>
    <col min="31" max="31" width="8.33203125" style="9" customWidth="1"/>
    <col min="32" max="32" width="10" style="9" bestFit="1" customWidth="1"/>
    <col min="33" max="33" width="6.83203125" style="9" bestFit="1" customWidth="1"/>
    <col min="34" max="34" width="0.83203125" style="9" customWidth="1"/>
    <col min="35" max="35" width="22.33203125" style="9" hidden="1" customWidth="1"/>
    <col min="36" max="36" width="56.1640625" style="3" hidden="1" customWidth="1"/>
    <col min="37" max="37" width="11.6640625" style="3" hidden="1" customWidth="1"/>
    <col min="38" max="38" width="0.83203125" style="3" hidden="1" customWidth="1"/>
    <col min="39" max="39" width="28.1640625" style="3" bestFit="1" customWidth="1"/>
    <col min="40" max="40" width="9.83203125" style="3" hidden="1" customWidth="1"/>
    <col min="41" max="41" width="10.33203125" style="3" customWidth="1"/>
    <col min="42" max="42" width="7.1640625" style="3" customWidth="1"/>
    <col min="43" max="43" width="8.33203125" style="3" customWidth="1"/>
    <col min="44" max="44" width="15.6640625" style="3" customWidth="1"/>
    <col min="45" max="45" width="10.1640625" style="3" bestFit="1" customWidth="1"/>
    <col min="46" max="46" width="19.5" style="3" bestFit="1" customWidth="1"/>
    <col min="47" max="47" width="5.6640625" style="3" bestFit="1" customWidth="1"/>
    <col min="48" max="48" width="7.5" style="3" customWidth="1"/>
    <col min="49" max="49" width="0.6640625" style="3" customWidth="1"/>
    <col min="50" max="50" width="7" style="3" bestFit="1" customWidth="1"/>
    <col min="51" max="51" width="6.33203125" style="3" customWidth="1"/>
    <col min="52" max="52" width="7.83203125" style="8" bestFit="1" customWidth="1"/>
    <col min="53" max="53" width="13.5" style="3" bestFit="1" customWidth="1"/>
    <col min="54" max="54" width="5.6640625" style="3" bestFit="1" customWidth="1"/>
    <col min="55" max="55" width="7.33203125" style="3" customWidth="1"/>
    <col min="56" max="56" width="0.5" style="3" customWidth="1"/>
    <col min="57" max="57" width="7.83203125" style="3" bestFit="1" customWidth="1"/>
    <col min="58" max="58" width="6.1640625" style="3" bestFit="1" customWidth="1"/>
    <col min="59" max="59" width="7.83203125" style="8" bestFit="1" customWidth="1"/>
    <col min="60" max="60" width="13.5" style="3" bestFit="1" customWidth="1"/>
    <col min="61" max="61" width="5.6640625" style="3" bestFit="1" customWidth="1"/>
    <col min="62" max="62" width="7.33203125" style="3" customWidth="1"/>
    <col min="63" max="63" width="0.6640625" style="3" customWidth="1"/>
    <col min="64" max="64" width="6.33203125" style="3" bestFit="1" customWidth="1"/>
    <col min="65" max="65" width="7.5" style="3" customWidth="1"/>
    <col min="66" max="66" width="7.33203125" style="8" customWidth="1"/>
    <col min="67" max="67" width="9.33203125" style="3" bestFit="1" customWidth="1"/>
    <col min="68" max="68" width="5.6640625" style="3" bestFit="1" customWidth="1"/>
    <col min="69" max="69" width="8.33203125" style="3" customWidth="1"/>
    <col min="70" max="70" width="0.5" style="3" customWidth="1"/>
    <col min="71" max="72" width="6.33203125" style="3" bestFit="1" customWidth="1"/>
    <col min="73" max="73" width="7.83203125" style="3" bestFit="1" customWidth="1"/>
    <col min="74" max="74" width="18.33203125" style="3" bestFit="1" customWidth="1"/>
    <col min="75" max="75" width="5.6640625" style="3" bestFit="1" customWidth="1"/>
    <col min="76" max="76" width="6.6640625" style="3" customWidth="1"/>
    <col min="77" max="77" width="0.6640625" style="3" customWidth="1"/>
    <col min="78" max="79" width="6.33203125" style="3" bestFit="1" customWidth="1"/>
    <col min="80" max="80" width="7.83203125" style="3" bestFit="1" customWidth="1"/>
    <col min="81" max="83" width="7.83203125" style="3" customWidth="1"/>
    <col min="84" max="84" width="0.33203125" style="3" customWidth="1"/>
    <col min="85" max="87" width="7.83203125" style="3" customWidth="1"/>
    <col min="88" max="89" width="10.83203125" style="7" hidden="1" customWidth="1"/>
    <col min="90" max="92" width="10.83203125" style="3" hidden="1" customWidth="1"/>
    <col min="93" max="93" width="1.5" style="3" customWidth="1"/>
    <col min="94" max="122" width="0" style="3" hidden="1" customWidth="1"/>
    <col min="123" max="16384" width="10.83203125" style="3" hidden="1"/>
  </cols>
  <sheetData>
    <row r="1" spans="1:93" s="29" customFormat="1" ht="15" customHeight="1">
      <c r="A1" s="75" t="s">
        <v>125</v>
      </c>
      <c r="B1" s="71" t="s">
        <v>317</v>
      </c>
      <c r="C1" s="71" t="s">
        <v>402</v>
      </c>
      <c r="D1" s="68"/>
      <c r="E1" s="66" t="s">
        <v>126</v>
      </c>
      <c r="F1" s="71" t="s">
        <v>155</v>
      </c>
      <c r="G1" s="71" t="s">
        <v>156</v>
      </c>
      <c r="H1" s="71" t="s">
        <v>158</v>
      </c>
      <c r="I1" s="71" t="s">
        <v>157</v>
      </c>
      <c r="J1" s="66" t="s">
        <v>189</v>
      </c>
      <c r="K1" s="66" t="s">
        <v>349</v>
      </c>
      <c r="L1" s="66" t="s">
        <v>260</v>
      </c>
      <c r="M1" s="66" t="s">
        <v>108</v>
      </c>
      <c r="N1" s="66" t="s">
        <v>109</v>
      </c>
      <c r="O1" s="77" t="s">
        <v>110</v>
      </c>
      <c r="P1" s="66" t="s">
        <v>111</v>
      </c>
      <c r="Q1" s="66" t="s">
        <v>112</v>
      </c>
      <c r="R1" s="27"/>
      <c r="S1" s="66" t="s">
        <v>113</v>
      </c>
      <c r="T1" s="66" t="s">
        <v>277</v>
      </c>
      <c r="U1" s="66"/>
      <c r="V1" s="66"/>
      <c r="W1" s="66"/>
      <c r="X1" s="66"/>
      <c r="Y1" s="66" t="s">
        <v>262</v>
      </c>
      <c r="Z1" s="66"/>
      <c r="AA1" s="66"/>
      <c r="AB1" s="66"/>
      <c r="AC1" s="66"/>
      <c r="AD1" s="66"/>
      <c r="AE1" s="66" t="s">
        <v>431</v>
      </c>
      <c r="AF1" s="66"/>
      <c r="AG1" s="66"/>
      <c r="AH1" s="68"/>
      <c r="AI1" s="66" t="s">
        <v>432</v>
      </c>
      <c r="AJ1" s="66" t="s">
        <v>123</v>
      </c>
      <c r="AK1" s="66" t="s">
        <v>254</v>
      </c>
      <c r="AL1" s="68"/>
      <c r="AM1" s="66" t="s">
        <v>124</v>
      </c>
      <c r="AN1" s="71" t="s">
        <v>266</v>
      </c>
      <c r="AO1" s="66" t="s">
        <v>127</v>
      </c>
      <c r="AP1" s="66" t="s">
        <v>128</v>
      </c>
      <c r="AQ1" s="66" t="s">
        <v>129</v>
      </c>
      <c r="AR1" s="66" t="s">
        <v>130</v>
      </c>
      <c r="AS1" s="66" t="s">
        <v>131</v>
      </c>
      <c r="AT1" s="66" t="s">
        <v>267</v>
      </c>
      <c r="AU1" s="66"/>
      <c r="AV1" s="66"/>
      <c r="AW1" s="66"/>
      <c r="AX1" s="66"/>
      <c r="AY1" s="66"/>
      <c r="AZ1" s="66"/>
      <c r="BA1" s="66" t="s">
        <v>269</v>
      </c>
      <c r="BB1" s="66"/>
      <c r="BC1" s="66"/>
      <c r="BD1" s="66"/>
      <c r="BE1" s="66"/>
      <c r="BF1" s="66"/>
      <c r="BG1" s="66"/>
      <c r="BH1" s="66" t="s">
        <v>270</v>
      </c>
      <c r="BI1" s="66"/>
      <c r="BJ1" s="66"/>
      <c r="BK1" s="66"/>
      <c r="BL1" s="66"/>
      <c r="BM1" s="66"/>
      <c r="BN1" s="70"/>
      <c r="BO1" s="66" t="s">
        <v>271</v>
      </c>
      <c r="BP1" s="66"/>
      <c r="BQ1" s="66"/>
      <c r="BR1" s="66"/>
      <c r="BS1" s="66"/>
      <c r="BT1" s="66"/>
      <c r="BU1" s="66"/>
      <c r="BV1" s="66" t="s">
        <v>272</v>
      </c>
      <c r="BW1" s="66"/>
      <c r="BX1" s="66"/>
      <c r="BY1" s="66"/>
      <c r="BZ1" s="66"/>
      <c r="CA1" s="66"/>
      <c r="CB1" s="66"/>
      <c r="CC1" s="66" t="s">
        <v>348</v>
      </c>
      <c r="CD1" s="66"/>
      <c r="CE1" s="66"/>
      <c r="CF1" s="66"/>
      <c r="CG1" s="66"/>
      <c r="CH1" s="66"/>
      <c r="CI1" s="66"/>
      <c r="CJ1" s="28"/>
      <c r="CK1" s="73" t="s">
        <v>513</v>
      </c>
      <c r="CL1" s="71" t="s">
        <v>512</v>
      </c>
      <c r="CO1" s="68"/>
    </row>
    <row r="2" spans="1:93" s="34" customFormat="1" ht="15" customHeight="1" thickBot="1">
      <c r="A2" s="76"/>
      <c r="B2" s="72"/>
      <c r="C2" s="72"/>
      <c r="D2" s="69"/>
      <c r="E2" s="67"/>
      <c r="F2" s="72"/>
      <c r="G2" s="72"/>
      <c r="H2" s="72"/>
      <c r="I2" s="72"/>
      <c r="J2" s="67"/>
      <c r="K2" s="67"/>
      <c r="L2" s="67"/>
      <c r="M2" s="67"/>
      <c r="N2" s="67"/>
      <c r="O2" s="78"/>
      <c r="P2" s="67"/>
      <c r="Q2" s="67"/>
      <c r="R2" s="30" t="s">
        <v>404</v>
      </c>
      <c r="S2" s="67"/>
      <c r="T2" s="30" t="s">
        <v>261</v>
      </c>
      <c r="U2" s="30" t="s">
        <v>114</v>
      </c>
      <c r="V2" s="30" t="s">
        <v>115</v>
      </c>
      <c r="W2" s="30" t="s">
        <v>116</v>
      </c>
      <c r="X2" s="30" t="s">
        <v>522</v>
      </c>
      <c r="Y2" s="30" t="s">
        <v>117</v>
      </c>
      <c r="Z2" s="30" t="s">
        <v>118</v>
      </c>
      <c r="AA2" s="30" t="s">
        <v>119</v>
      </c>
      <c r="AB2" s="30" t="s">
        <v>120</v>
      </c>
      <c r="AC2" s="30" t="s">
        <v>121</v>
      </c>
      <c r="AD2" s="30" t="s">
        <v>122</v>
      </c>
      <c r="AE2" s="31" t="s">
        <v>263</v>
      </c>
      <c r="AF2" s="31" t="s">
        <v>264</v>
      </c>
      <c r="AG2" s="31" t="s">
        <v>265</v>
      </c>
      <c r="AH2" s="69"/>
      <c r="AI2" s="67"/>
      <c r="AJ2" s="67"/>
      <c r="AK2" s="67"/>
      <c r="AL2" s="69"/>
      <c r="AM2" s="67"/>
      <c r="AN2" s="72"/>
      <c r="AO2" s="67"/>
      <c r="AP2" s="67"/>
      <c r="AQ2" s="67"/>
      <c r="AR2" s="67"/>
      <c r="AS2" s="67"/>
      <c r="AT2" s="31" t="s">
        <v>260</v>
      </c>
      <c r="AU2" s="31" t="s">
        <v>108</v>
      </c>
      <c r="AV2" s="31" t="s">
        <v>268</v>
      </c>
      <c r="AW2" s="31"/>
      <c r="AX2" s="31" t="s">
        <v>278</v>
      </c>
      <c r="AY2" s="31" t="s">
        <v>279</v>
      </c>
      <c r="AZ2" s="32" t="s">
        <v>280</v>
      </c>
      <c r="BA2" s="31" t="s">
        <v>260</v>
      </c>
      <c r="BB2" s="31" t="s">
        <v>108</v>
      </c>
      <c r="BC2" s="31" t="s">
        <v>268</v>
      </c>
      <c r="BD2" s="31"/>
      <c r="BE2" s="31" t="s">
        <v>278</v>
      </c>
      <c r="BF2" s="31" t="s">
        <v>279</v>
      </c>
      <c r="BG2" s="32" t="s">
        <v>280</v>
      </c>
      <c r="BH2" s="31" t="s">
        <v>260</v>
      </c>
      <c r="BI2" s="31" t="s">
        <v>108</v>
      </c>
      <c r="BJ2" s="31" t="s">
        <v>268</v>
      </c>
      <c r="BK2" s="31"/>
      <c r="BL2" s="31" t="s">
        <v>278</v>
      </c>
      <c r="BM2" s="31" t="s">
        <v>279</v>
      </c>
      <c r="BN2" s="32" t="s">
        <v>280</v>
      </c>
      <c r="BO2" s="31" t="s">
        <v>260</v>
      </c>
      <c r="BP2" s="31" t="s">
        <v>108</v>
      </c>
      <c r="BQ2" s="31" t="s">
        <v>268</v>
      </c>
      <c r="BR2" s="31"/>
      <c r="BS2" s="31" t="s">
        <v>278</v>
      </c>
      <c r="BT2" s="31" t="s">
        <v>279</v>
      </c>
      <c r="BU2" s="32" t="s">
        <v>280</v>
      </c>
      <c r="BV2" s="31" t="s">
        <v>260</v>
      </c>
      <c r="BW2" s="31" t="s">
        <v>108</v>
      </c>
      <c r="BX2" s="31" t="s">
        <v>268</v>
      </c>
      <c r="BY2" s="31"/>
      <c r="BZ2" s="31" t="s">
        <v>278</v>
      </c>
      <c r="CA2" s="31" t="s">
        <v>279</v>
      </c>
      <c r="CB2" s="32" t="s">
        <v>280</v>
      </c>
      <c r="CC2" s="31" t="s">
        <v>260</v>
      </c>
      <c r="CD2" s="31" t="s">
        <v>108</v>
      </c>
      <c r="CE2" s="31" t="s">
        <v>268</v>
      </c>
      <c r="CF2" s="31"/>
      <c r="CG2" s="31" t="s">
        <v>278</v>
      </c>
      <c r="CH2" s="31" t="s">
        <v>279</v>
      </c>
      <c r="CI2" s="32" t="s">
        <v>280</v>
      </c>
      <c r="CJ2" s="33" t="s">
        <v>255</v>
      </c>
      <c r="CK2" s="74"/>
      <c r="CL2" s="72"/>
      <c r="CM2" s="30" t="s">
        <v>256</v>
      </c>
      <c r="CN2" s="30" t="s">
        <v>257</v>
      </c>
      <c r="CO2" s="69"/>
    </row>
    <row r="3" spans="1:93">
      <c r="A3" s="3" t="str">
        <f>IF(DruidLevel&lt;B3,"",CHAR(9)&amp;"&lt;monster&gt;"&amp;CHAR(13)&amp;CHAR(9)&amp;CHAR(9)&amp;"&lt;name&gt;"&amp;L3&amp;" (Wild Shape)&lt;/name&gt;"&amp;CHAR(13)&amp;CHAR(9)&amp;CHAR(9)&amp;"&lt;size&gt;"&amp;LEFT(P3,1)&amp;"&lt;/size&gt;"&amp;CHAR(13)&amp;CHAR(9)&amp;CHAR(9)&amp;"&lt;type&gt;"&amp;M3&amp;"&lt;/type&gt;"&amp;CHAR(13)&amp;CHAR(9)&amp;CHAR(9)&amp;"&lt;alignment&gt;"&amp;N3&amp;"&lt;/alignment&gt;"&amp;CHAR(13)&amp;CHAR(9)&amp;CHAR(9)&amp;"&lt;ac&gt;"&amp;Q3&amp;IF(ISBLANK(R3),""," ("&amp;R3&amp;")")&amp;"&lt;/ac&gt;"&amp;CHAR(13)&amp;CHAR(9)&amp;CHAR(9)&amp;"&lt;hp&gt;"&amp;S3&amp;"&lt;/hp&gt;"&amp;CHAR(13)&amp;CHAR(9)&amp;CHAR(9)&amp;"&lt;speed&gt;"&amp;E3&amp;"&lt;/speed&gt;"&amp;CHAR(13)&amp;CHAR(9)&amp;CHAR(9)&amp;"&lt;str&gt;"&amp;Y3&amp;"&lt;/str&gt;&lt;dex&gt;"&amp;Z3&amp;"&lt;/dex&gt;&lt;con&gt;"&amp;AA3&amp;"&lt;/con&gt;&lt;int&gt;"&amp;AB3&amp;"&lt;/int&gt;&lt;wis&gt;"&amp;AC3&amp;"&lt;/wis&gt;&lt;cha&gt;"&amp;AD3&amp;"&lt;/cha&gt;"&amp;CHAR(13)&amp;CHAR(9)&amp;CHAR(9)&amp;"&lt;save&gt;"&amp;AK3&amp;"&lt;/save&gt;"&amp;CHAR(13)&amp;CHAR(9)&amp;CHAR(9)&amp;"&lt;skill&gt;"&amp;AJ3&amp;"&lt;/skill&gt;"&amp;CHAR(13)&amp;CHAR(9)&amp;CHAR(9)&amp;"&lt;vulnerable&gt;"&amp;AO3&amp;"&lt;/vulnerable&gt;"&amp;CHAR(13)&amp;CHAR(9)&amp;CHAR(9)&amp;"&lt;resist&gt;"&amp;AP3&amp;"&lt;/resist&gt;"&amp;CHAR(13)&amp;CHAR(9)&amp;CHAR(9)&amp;"&lt;immune&gt;"&amp;AQ3&amp;"&lt;/immune&gt;"&amp;CHAR(13)&amp;CHAR(9)&amp;CHAR(9)&amp;"&lt;conditionImmune&gt;"&amp;AR3&amp;"&lt;/conditionImmune&gt;"&amp;CHAR(13)&amp;CHAR(9)&amp;CHAR(9)&amp;"&lt;senses&gt;"&amp;AM3&amp;"&lt;/senses&gt;"&amp;CHAR(13)&amp;CHAR(9)&amp;CHAR(9)&amp;"&lt;passive&gt;"&amp;AN3&amp;"&lt;/passive&gt;"&amp;CHAR(13)&amp;CHAR(9)&amp;CHAR(9)&amp;"&lt;languages&gt;"&amp;AS3&amp;"&lt;/languages&gt;"&amp;CHAR(13)&amp;CHAR(9)&amp;CHAR(9)&amp;"&lt;cr&gt;"&amp;O3&amp;"&lt;/cr&gt;"&amp;F3&amp;G3&amp;H3&amp;I3&amp;J3&amp;K3&amp;IF(C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 s="3">
        <f>IF(COTM=TRUE,MAX(CL3,CM3,CN3),MAX(CK3,CM3,CN3))</f>
        <v>99</v>
      </c>
      <c r="C3" s="11" t="str">
        <f>IF(COTM=FALSE,"",IF(DruidLevel&gt;5,"Y",""))</f>
        <v/>
      </c>
      <c r="D3" s="3" t="s">
        <v>173</v>
      </c>
      <c r="E3" s="3" t="str">
        <f>T3&amp;" ft."&amp;IF(U3+V3+W3+X3=0,"",", ")&amp;IF(ISBLANK(U3),"","burrow "&amp;U3&amp;" ft."&amp;IF(V3+W3+X3=0,"",", "))&amp;IF(ISBLANK(V3),"","climb "&amp;V3&amp;" ft."&amp;IF(W3+X3=0,"",", "))&amp;IF(ISBLANK(W3),"","fly "&amp;W3&amp;" ft."&amp;IF(X3=0,"",", "))&amp;IF(ISBLANK(X3),"","swim "&amp;X3&amp;" ft.")</f>
        <v>0 ft., fly 90 ft.</v>
      </c>
      <c r="F3" s="3" t="str">
        <f>IF(ISBLANK(AT3),"",CHAR(13)&amp;CHAR(9)&amp;CHAR(9)&amp;"&lt;"&amp;AU3&amp;"&gt;"&amp;CHAR(13)&amp;CHAR(9)&amp;CHAR(9)&amp;CHAR(9)&amp;"&lt;name&gt;"&amp;AT3&amp;"&lt;/name&gt;"&amp;CHAR(13)&amp;CHAR(9)&amp;CHAR(9)&amp;CHAR(9)&amp;"&lt;text&gt;"&amp;AV3&amp;"&lt;/text&gt;"&amp;IF(ISBLANK(AX3),"",CHAR(13)&amp;CHAR(9)&amp;CHAR(9)&amp;CHAR(9)&amp;"&lt;attack&gt;"&amp;AX3&amp;"|"&amp;AY3&amp;"|"&amp;AZ3&amp;"&lt;/attack&gt;")&amp;CHAR(13)&amp;CHAR(9)&amp;CHAR(9)&amp;"&lt;/"&amp;AU3&amp;"&gt;")</f>
        <v>_x000D_		&lt;trait&gt;_x000D_			&lt;name&gt;Air Form&lt;/name&gt;_x000D_			&lt;text&gt;The elemental can enter a hostile creature's space and stop there. It can move through a space as narrow as 1 inch wide without squeezing.&lt;/text&gt;_x000D_		&lt;/trait&gt;</v>
      </c>
      <c r="G3" s="3" t="str">
        <f>IF(ISBLANK(BA3),"",CHAR(13)&amp;CHAR(9)&amp;CHAR(9)&amp;"&lt;"&amp;BB3&amp;"&gt;"&amp;CHAR(13)&amp;CHAR(9)&amp;CHAR(9)&amp;CHAR(9)&amp;"&lt;name&gt;"&amp;BA3&amp;"&lt;/name&gt;"&amp;CHAR(13)&amp;CHAR(9)&amp;CHAR(9)&amp;CHAR(9)&amp;"&lt;text&gt;"&amp;BC3&amp;"&lt;/text&gt;"&amp;IF(ISBLANK(BE3),"",CHAR(13)&amp;CHAR(9)&amp;CHAR(9)&amp;CHAR(9)&amp;"&lt;attack&gt;"&amp;BE3&amp;"|"&amp;BF3&amp;"|"&amp;BG3&amp;"&lt;/attack&gt;")&amp;CHAR(13)&amp;CHAR(9)&amp;CHAR(9)&amp;"&lt;/"&amp;BB3&amp;"&gt;")</f>
        <v>_x000D_		&lt;action&gt;_x000D_			&lt;name&gt;Multiattack&lt;/name&gt;_x000D_			&lt;text&gt;The elemental makes two slam attacks.&lt;/text&gt;_x000D_		&lt;/action&gt;</v>
      </c>
      <c r="H3" s="3" t="str">
        <f>IF(ISBLANK(BH3),"",CHAR(13)&amp;CHAR(9)&amp;CHAR(9)&amp;"&lt;"&amp;BI3&amp;"&gt;"&amp;CHAR(13)&amp;CHAR(9)&amp;CHAR(9)&amp;CHAR(9)&amp;"&lt;name&gt;"&amp;BH3&amp;"&lt;/name&gt;"&amp;CHAR(13)&amp;CHAR(9)&amp;CHAR(9)&amp;CHAR(9)&amp;"&lt;text&gt;"&amp;BJ3&amp;"&lt;/text&gt;"&amp;IF(ISBLANK(BL3),"",CHAR(13)&amp;CHAR(9)&amp;CHAR(9)&amp;CHAR(9)&amp;"&lt;attack&gt;"&amp;BL3&amp;"|"&amp;BM3&amp;"|"&amp;BN3&amp;"&lt;/attack&gt;")&amp;CHAR(13)&amp;CHAR(9)&amp;CHAR(9)&amp;"&lt;/"&amp;BI3&amp;"&gt;")</f>
        <v>_x000D_		&lt;action&gt;_x000D_			&lt;name&gt;Slam&lt;/name&gt;_x000D_			&lt;text&gt;Melee Weapon Attack: +8 to hit, reach 5 ft., one target. Hit: 14 (2d8 + 5) bludgeoning damage.&lt;/text&gt;_x000D_			&lt;attack&gt;Slam|8|2d8+5&lt;/attack&gt;_x000D_		&lt;/action&gt;</v>
      </c>
      <c r="I3" s="3" t="str">
        <f>IF(ISBLANK(BO3),"",CHAR(13)&amp;CHAR(9)&amp;CHAR(9)&amp;"&lt;"&amp;BP3&amp;"&gt;"&amp;CHAR(13)&amp;CHAR(9)&amp;CHAR(9)&amp;CHAR(9)&amp;"&lt;name&gt;"&amp;BO3&amp;"&lt;/name&gt;"&amp;CHAR(13)&amp;CHAR(9)&amp;CHAR(9)&amp;CHAR(9)&amp;"&lt;text&gt;"&amp;BQ3&amp;"&lt;/text&gt;"&amp;IF(ISBLANK(BS3),"",CHAR(13)&amp;CHAR(9)&amp;CHAR(9)&amp;CHAR(9)&amp;"&lt;attack&gt;"&amp;BS3&amp;"|"&amp;BT3&amp;"|"&amp;BU3&amp;"&lt;/attack&gt;")&amp;CHAR(13)&amp;CHAR(9)&amp;CHAR(9)&amp;"&lt;/"&amp;BP3&amp;"&gt;")</f>
        <v>_x000D_		&lt;action&gt;_x000D_			&lt;name&gt;Whirlwind (Recharge 4-6)&lt;/name&gt;_x000D_			&lt;text&gt;Each creature in the elemental's space must make a DC 13 Strength saving throw. On a failure, a target takes 15 (3d8+2) bludgeoning damage and is flung up 20 feet away from the elemental in a random direction and knocked prone. If a thrown target strikes an object, such as a wall or floor, the target takes 3 (1d6) bludgeoning damage for every 10 feet it was thrown. If the target is thrown at another creature, that creature must succeed on a DC 13 Dexterity saving throw or take the same damage and be knocked prone.&lt;/text&gt;&lt;text&gt; If the saving throw is successful, the target takes half the bludgeoning damage and isn't flung away or knocked prone.&lt;/text&gt;_x000D_		&lt;/action&gt;</v>
      </c>
      <c r="J3" s="3" t="str">
        <f>IF(ISBLANK(BV3),"",CHAR(13)&amp;CHAR(9)&amp;CHAR(9)&amp;"&lt;"&amp;BW3&amp;"&gt;"&amp;CHAR(13)&amp;CHAR(9)&amp;CHAR(9)&amp;CHAR(9)&amp;"&lt;name&gt;"&amp;BV3&amp;"&lt;/name&gt;"&amp;CHAR(13)&amp;CHAR(9)&amp;CHAR(9)&amp;CHAR(9)&amp;"&lt;text&gt;"&amp;BX3&amp;"&lt;/text&gt;"&amp;IF(ISBLANK(BZ3),"",CHAR(13)&amp;CHAR(9)&amp;CHAR(9)&amp;CHAR(9)&amp;"&lt;attack&gt;"&amp;BZ3&amp;"|"&amp;CA3&amp;"|"&amp;CB3&amp;"&lt;/attack&gt;")&amp;CHAR(13)&amp;CHAR(9)&amp;CHAR(9)&amp;"&lt;/"&amp;BW3&amp;"&gt;")</f>
        <v/>
      </c>
      <c r="K3" s="3" t="str">
        <f>IF(ISBLANK(CC3),"",CHAR(13)&amp;CHAR(9)&amp;CHAR(9)&amp;"&lt;"&amp;CD3&amp;"&gt;"&amp;CHAR(13)&amp;CHAR(9)&amp;CHAR(9)&amp;CHAR(9)&amp;"&lt;name&gt;"&amp;CC3&amp;"&lt;/name&gt;"&amp;CHAR(13)&amp;CHAR(9)&amp;CHAR(9)&amp;CHAR(9)&amp;"&lt;text&gt;"&amp;CE3&amp;"&lt;/text&gt;"&amp;IF(ISBLANK(CG3),"",CHAR(13)&amp;CHAR(9)&amp;CHAR(9)&amp;CHAR(9)&amp;"&lt;attack&gt;"&amp;CG3&amp;"|"&amp;CH3&amp;"|"&amp;CI3&amp;"&lt;/attack&gt;")&amp;CHAR(13)&amp;CHAR(9)&amp;CHAR(9)&amp;"&lt;/"&amp;CD3&amp;"&gt;")</f>
        <v/>
      </c>
      <c r="L3" s="1" t="s">
        <v>3</v>
      </c>
      <c r="M3" s="1" t="s">
        <v>276</v>
      </c>
      <c r="N3" s="1">
        <f>DruidAlignment</f>
        <v>0</v>
      </c>
      <c r="O3" s="2">
        <v>5</v>
      </c>
      <c r="P3" s="1" t="s">
        <v>2</v>
      </c>
      <c r="Q3" s="1">
        <v>15</v>
      </c>
      <c r="R3" s="1"/>
      <c r="S3" s="1">
        <v>90</v>
      </c>
      <c r="T3" s="1">
        <v>0</v>
      </c>
      <c r="W3" s="1">
        <v>90</v>
      </c>
      <c r="Y3" s="1">
        <v>14</v>
      </c>
      <c r="Z3" s="1">
        <v>20</v>
      </c>
      <c r="AA3" s="1">
        <v>14</v>
      </c>
      <c r="AB3" s="10">
        <f>DruidInt</f>
        <v>0</v>
      </c>
      <c r="AC3" s="10">
        <f>DruidWis</f>
        <v>0</v>
      </c>
      <c r="AD3" s="10">
        <f>DruidCha</f>
        <v>0</v>
      </c>
      <c r="AE3" s="12"/>
      <c r="AF3" s="12">
        <v>3</v>
      </c>
      <c r="AG3" s="12"/>
      <c r="AH3" s="12" t="s">
        <v>173</v>
      </c>
      <c r="AI3" s="12" t="str">
        <f>IF(ISBLANK(DruidAcrobatics),"",", Acrobatics +"&amp;DruidAcrobatics)&amp;IF(ISBLANK(DruidAnimalHandling),"",", Animal Handling +"&amp;DruidAnimalHandling)&amp;IF(ISBLANK(DruidArcana),"",", Arcana +"&amp;DruidArcana)&amp;IF(DruidAthletics+AE3=0,"",", Athletics +"&amp;MAX(DruidAthletics,AE3))&amp;IF(ISBLANK(DruidDeception),"",",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+"&amp;DruidNature)&amp;IF(DruidPerception+AF3=0,"",", Perception +"&amp;MAX(DruidPerception,AF3))&amp;IF(ISBLANK(DruidPerformance),"",", Performance +"&amp;DruidPerformance)&amp;IF(ISBLANK(DruidPersuasion),"",", Persuasion +"&amp;DruidPersuasion)&amp;IF(ISBLANK(DruidReligion),"",", Religion +"&amp;DruidReligion)&amp;IF(ISBLANK(DruidSleightofHand),"",", Sleight of Hand +"&amp;DruidSleightofHand)&amp;IF(DruidStealth+AG3=0,"",", Stealth +"&amp;MAX(DruidStealth,AG3))&amp;IF(ISBLANK(DruidSurvival),"",", Survival +"&amp;DruidSurvival)</f>
        <v>, Perception +3</v>
      </c>
      <c r="AJ3" s="1" t="str">
        <f>RIGHT(AI3,LEN(AI3)-2)</f>
        <v>Perception +3</v>
      </c>
      <c r="AK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 s="1" t="s">
        <v>173</v>
      </c>
      <c r="AM3" s="1" t="s">
        <v>176</v>
      </c>
      <c r="AN3" s="3">
        <f>IF(DruidPerception+AF3=0,10+(ROUNDDOWN((AC3-10)/2,0)),10+MAX(DruidPerception,AF3))</f>
        <v>13</v>
      </c>
      <c r="AO3" s="1"/>
      <c r="AP3" s="1" t="s">
        <v>159</v>
      </c>
      <c r="AQ3" s="1" t="s">
        <v>132</v>
      </c>
      <c r="AR3" s="1" t="s">
        <v>133</v>
      </c>
      <c r="AS3" s="1" t="s">
        <v>135</v>
      </c>
      <c r="AT3" s="1" t="s">
        <v>134</v>
      </c>
      <c r="AU3" s="1" t="s">
        <v>148</v>
      </c>
      <c r="AV3" s="3" t="s">
        <v>502</v>
      </c>
      <c r="AW3" s="3" t="s">
        <v>173</v>
      </c>
      <c r="AZ3" s="9"/>
      <c r="BA3" s="3" t="s">
        <v>149</v>
      </c>
      <c r="BB3" s="3" t="s">
        <v>150</v>
      </c>
      <c r="BC3" s="3" t="s">
        <v>151</v>
      </c>
      <c r="BD3" s="3" t="s">
        <v>173</v>
      </c>
      <c r="BG3" s="9"/>
      <c r="BH3" s="3" t="s">
        <v>152</v>
      </c>
      <c r="BI3" s="3" t="s">
        <v>150</v>
      </c>
      <c r="BJ3" s="3" t="s">
        <v>153</v>
      </c>
      <c r="BK3" s="3" t="s">
        <v>173</v>
      </c>
      <c r="BL3" s="3" t="s">
        <v>152</v>
      </c>
      <c r="BM3" s="3">
        <v>8</v>
      </c>
      <c r="BN3" s="9" t="s">
        <v>154</v>
      </c>
      <c r="BO3" s="3" t="s">
        <v>514</v>
      </c>
      <c r="BP3" s="3" t="s">
        <v>150</v>
      </c>
      <c r="BQ3" s="3" t="s">
        <v>515</v>
      </c>
      <c r="BR3" s="3" t="s">
        <v>173</v>
      </c>
      <c r="BY3" s="3" t="s">
        <v>173</v>
      </c>
      <c r="CJ3" s="6">
        <v>5</v>
      </c>
      <c r="CK3" s="6">
        <f>IF(CJ3&lt;0.26,2,IF(CJ3&lt;0.51,4,IF(CJ3&lt;1.1,8,99)))</f>
        <v>99</v>
      </c>
      <c r="CL3" s="3">
        <f>IF(M3="Elemental",10,IF(CJ3&lt;2,2,CJ3*3))</f>
        <v>10</v>
      </c>
      <c r="CM3" s="3">
        <f>IF(W3&gt;0,8,0)</f>
        <v>8</v>
      </c>
      <c r="CN3" s="3">
        <f>IF(X3&gt;0,4,0)</f>
        <v>0</v>
      </c>
    </row>
    <row r="4" spans="1:93">
      <c r="A4" s="3" t="str">
        <f>IF(DruidLevel&lt;B4,"",CHAR(9)&amp;"&lt;monster&gt;"&amp;CHAR(13)&amp;CHAR(9)&amp;CHAR(9)&amp;"&lt;name&gt;"&amp;L4&amp;" (Wild Shape)&lt;/name&gt;"&amp;CHAR(13)&amp;CHAR(9)&amp;CHAR(9)&amp;"&lt;size&gt;"&amp;LEFT(P4,1)&amp;"&lt;/size&gt;"&amp;CHAR(13)&amp;CHAR(9)&amp;CHAR(9)&amp;"&lt;type&gt;"&amp;M4&amp;"&lt;/type&gt;"&amp;CHAR(13)&amp;CHAR(9)&amp;CHAR(9)&amp;"&lt;alignment&gt;"&amp;N4&amp;"&lt;/alignment&gt;"&amp;CHAR(13)&amp;CHAR(9)&amp;CHAR(9)&amp;"&lt;ac&gt;"&amp;Q4&amp;IF(ISBLANK(R4),""," ("&amp;R4&amp;")")&amp;"&lt;/ac&gt;"&amp;CHAR(13)&amp;CHAR(9)&amp;CHAR(9)&amp;"&lt;hp&gt;"&amp;S4&amp;"&lt;/hp&gt;"&amp;CHAR(13)&amp;CHAR(9)&amp;CHAR(9)&amp;"&lt;speed&gt;"&amp;E4&amp;"&lt;/speed&gt;"&amp;CHAR(13)&amp;CHAR(9)&amp;CHAR(9)&amp;"&lt;str&gt;"&amp;Y4&amp;"&lt;/str&gt;&lt;dex&gt;"&amp;Z4&amp;"&lt;/dex&gt;&lt;con&gt;"&amp;AA4&amp;"&lt;/con&gt;&lt;int&gt;"&amp;AB4&amp;"&lt;/int&gt;&lt;wis&gt;"&amp;AC4&amp;"&lt;/wis&gt;&lt;cha&gt;"&amp;AD4&amp;"&lt;/cha&gt;"&amp;CHAR(13)&amp;CHAR(9)&amp;CHAR(9)&amp;"&lt;save&gt;"&amp;AK4&amp;"&lt;/save&gt;"&amp;CHAR(13)&amp;CHAR(9)&amp;CHAR(9)&amp;"&lt;skill&gt;"&amp;AJ4&amp;"&lt;/skill&gt;"&amp;CHAR(13)&amp;CHAR(9)&amp;CHAR(9)&amp;"&lt;vulnerable&gt;"&amp;AO4&amp;"&lt;/vulnerable&gt;"&amp;CHAR(13)&amp;CHAR(9)&amp;CHAR(9)&amp;"&lt;resist&gt;"&amp;AP4&amp;"&lt;/resist&gt;"&amp;CHAR(13)&amp;CHAR(9)&amp;CHAR(9)&amp;"&lt;immune&gt;"&amp;AQ4&amp;"&lt;/immune&gt;"&amp;CHAR(13)&amp;CHAR(9)&amp;CHAR(9)&amp;"&lt;conditionImmune&gt;"&amp;AR4&amp;"&lt;/conditionImmune&gt;"&amp;CHAR(13)&amp;CHAR(9)&amp;CHAR(9)&amp;"&lt;senses&gt;"&amp;AM4&amp;"&lt;/senses&gt;"&amp;CHAR(13)&amp;CHAR(9)&amp;CHAR(9)&amp;"&lt;passive&gt;"&amp;AN4&amp;"&lt;/passive&gt;"&amp;CHAR(13)&amp;CHAR(9)&amp;CHAR(9)&amp;"&lt;languages&gt;"&amp;AS4&amp;"&lt;/languages&gt;"&amp;CHAR(13)&amp;CHAR(9)&amp;CHAR(9)&amp;"&lt;cr&gt;"&amp;O4&amp;"&lt;/cr&gt;"&amp;F4&amp;G4&amp;H4&amp;I4&amp;J4&amp;K4&amp;IF(C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 s="3">
        <f>IF(COTM=TRUE,MAX(CL4,CM4,CN4),MAX(CK4,CM4,CN4))</f>
        <v>99</v>
      </c>
      <c r="C4" s="11" t="str">
        <f>IF(COTM=FALSE,"",IF(DruidLevel&gt;5,"Y",""))</f>
        <v/>
      </c>
      <c r="D4" s="3" t="s">
        <v>173</v>
      </c>
      <c r="E4" s="3" t="str">
        <f>T4&amp;" ft."&amp;IF(U4+V4+W4+X4=0,"",", ")&amp;IF(ISBLANK(U4),"","burrow "&amp;U4&amp;" ft."&amp;IF(V4+W4+X4=0,"",", "))&amp;IF(ISBLANK(V4),"","climb "&amp;V4&amp;" ft."&amp;IF(W4+X4=0,"",", "))&amp;IF(ISBLANK(W4),"","fly "&amp;W4&amp;" ft."&amp;IF(X4=0,"",", "))&amp;IF(ISBLANK(X4),"","swim "&amp;X4&amp;" ft.")</f>
        <v>60 ft.</v>
      </c>
      <c r="F4" s="3" t="str">
        <f>IF(ISBLANK(AT4),"",CHAR(13)&amp;CHAR(9)&amp;CHAR(9)&amp;"&lt;"&amp;AU4&amp;"&gt;"&amp;CHAR(13)&amp;CHAR(9)&amp;CHAR(9)&amp;CHAR(9)&amp;"&lt;name&gt;"&amp;AT4&amp;"&lt;/name&gt;"&amp;CHAR(13)&amp;CHAR(9)&amp;CHAR(9)&amp;CHAR(9)&amp;"&lt;text&gt;"&amp;AV4&amp;"&lt;/text&gt;"&amp;IF(ISBLANK(AX4),"",CHAR(13)&amp;CHAR(9)&amp;CHAR(9)&amp;CHAR(9)&amp;"&lt;attack&gt;"&amp;AX4&amp;"|"&amp;AY4&amp;"|"&amp;AZ4&amp;"&lt;/attack&gt;")&amp;CHAR(13)&amp;CHAR(9)&amp;CHAR(9)&amp;"&lt;/"&amp;AU4&amp;"&gt;")</f>
        <v>_x000D_		&lt;trait&gt;_x000D_			&lt;name&gt;Pounce&lt;/name&gt;_x000D_			&lt;text&gt;If the allosaurus moves at least 30 feet straight toward a creature and then hits it with a claw attack on the same turn, that target must succeed on a DC 13 Strength saving throw or be knocked prone. If the target is prone, the allosaurus can make one bite attack against it as a bonus action.&lt;/text&gt;_x000D_		&lt;/trait&gt;</v>
      </c>
      <c r="G4" s="3" t="str">
        <f>IF(ISBLANK(BA4),"",CHAR(13)&amp;CHAR(9)&amp;CHAR(9)&amp;"&lt;"&amp;BB4&amp;"&gt;"&amp;CHAR(13)&amp;CHAR(9)&amp;CHAR(9)&amp;CHAR(9)&amp;"&lt;name&gt;"&amp;BA4&amp;"&lt;/name&gt;"&amp;CHAR(13)&amp;CHAR(9)&amp;CHAR(9)&amp;CHAR(9)&amp;"&lt;text&gt;"&amp;BC4&amp;"&lt;/text&gt;"&amp;IF(ISBLANK(BE4),"",CHAR(13)&amp;CHAR(9)&amp;CHAR(9)&amp;CHAR(9)&amp;"&lt;attack&gt;"&amp;BE4&amp;"|"&amp;BF4&amp;"|"&amp;BG4&amp;"&lt;/attack&gt;")&amp;CHAR(13)&amp;CHAR(9)&amp;CHAR(9)&amp;"&lt;/"&amp;BB4&amp;"&gt;")</f>
        <v>_x000D_		&lt;action&gt;_x000D_			&lt;name&gt;Bite&lt;/name&gt;_x000D_			&lt;text&gt;Melee Weapon Attack: +6 to hit, reach 5 ft., one target. Hit: 15 (2d10 + 4) piercing damage.&lt;/text&gt;_x000D_			&lt;attack&gt;Bite|6|2d10+4&lt;/attack&gt;_x000D_		&lt;/action&gt;</v>
      </c>
      <c r="H4" s="3" t="str">
        <f>IF(ISBLANK(BH4),"",CHAR(13)&amp;CHAR(9)&amp;CHAR(9)&amp;"&lt;"&amp;BI4&amp;"&gt;"&amp;CHAR(13)&amp;CHAR(9)&amp;CHAR(9)&amp;CHAR(9)&amp;"&lt;name&gt;"&amp;BH4&amp;"&lt;/name&gt;"&amp;CHAR(13)&amp;CHAR(9)&amp;CHAR(9)&amp;CHAR(9)&amp;"&lt;text&gt;"&amp;BJ4&amp;"&lt;/text&gt;"&amp;IF(ISBLANK(BL4),"",CHAR(13)&amp;CHAR(9)&amp;CHAR(9)&amp;CHAR(9)&amp;"&lt;attack&gt;"&amp;BL4&amp;"|"&amp;BM4&amp;"|"&amp;BN4&amp;"&lt;/attack&gt;")&amp;CHAR(13)&amp;CHAR(9)&amp;CHAR(9)&amp;"&lt;/"&amp;BI4&amp;"&gt;")</f>
        <v>_x000D_		&lt;action&gt;_x000D_			&lt;name&gt;Claw&lt;/name&gt;_x000D_			&lt;text&gt;Melee Weapon Attack: +6 to hit, reach 5 ft., one target. Hit: 8 (1d8 + 4) slashing damage.&lt;/text&gt;_x000D_			&lt;attack&gt;Claw|6|1d8+4&lt;/attack&gt;_x000D_		&lt;/action&gt;</v>
      </c>
      <c r="I4" s="3" t="str">
        <f>IF(ISBLANK(BO4),"",CHAR(13)&amp;CHAR(9)&amp;CHAR(9)&amp;"&lt;"&amp;BP4&amp;"&gt;"&amp;CHAR(13)&amp;CHAR(9)&amp;CHAR(9)&amp;CHAR(9)&amp;"&lt;name&gt;"&amp;BO4&amp;"&lt;/name&gt;"&amp;CHAR(13)&amp;CHAR(9)&amp;CHAR(9)&amp;CHAR(9)&amp;"&lt;text&gt;"&amp;BQ4&amp;"&lt;/text&gt;"&amp;IF(ISBLANK(BS4),"",CHAR(13)&amp;CHAR(9)&amp;CHAR(9)&amp;CHAR(9)&amp;"&lt;attack&gt;"&amp;BS4&amp;"|"&amp;BT4&amp;"|"&amp;BU4&amp;"&lt;/attack&gt;")&amp;CHAR(13)&amp;CHAR(9)&amp;CHAR(9)&amp;"&lt;/"&amp;BP4&amp;"&gt;")</f>
        <v/>
      </c>
      <c r="J4" s="3" t="str">
        <f>IF(ISBLANK(BV4),"",CHAR(13)&amp;CHAR(9)&amp;CHAR(9)&amp;"&lt;"&amp;BW4&amp;"&gt;"&amp;CHAR(13)&amp;CHAR(9)&amp;CHAR(9)&amp;CHAR(9)&amp;"&lt;name&gt;"&amp;BV4&amp;"&lt;/name&gt;"&amp;CHAR(13)&amp;CHAR(9)&amp;CHAR(9)&amp;CHAR(9)&amp;"&lt;text&gt;"&amp;BX4&amp;"&lt;/text&gt;"&amp;IF(ISBLANK(BZ4),"",CHAR(13)&amp;CHAR(9)&amp;CHAR(9)&amp;CHAR(9)&amp;"&lt;attack&gt;"&amp;BZ4&amp;"|"&amp;CA4&amp;"|"&amp;CB4&amp;"&lt;/attack&gt;")&amp;CHAR(13)&amp;CHAR(9)&amp;CHAR(9)&amp;"&lt;/"&amp;BW4&amp;"&gt;")</f>
        <v/>
      </c>
      <c r="K4" s="3" t="str">
        <f>IF(ISBLANK(CC4),"",CHAR(13)&amp;CHAR(9)&amp;CHAR(9)&amp;"&lt;"&amp;CD4&amp;"&gt;"&amp;CHAR(13)&amp;CHAR(9)&amp;CHAR(9)&amp;CHAR(9)&amp;"&lt;name&gt;"&amp;CC4&amp;"&lt;/name&gt;"&amp;CHAR(13)&amp;CHAR(9)&amp;CHAR(9)&amp;CHAR(9)&amp;"&lt;text&gt;"&amp;CE4&amp;"&lt;/text&gt;"&amp;IF(ISBLANK(CG4),"",CHAR(13)&amp;CHAR(9)&amp;CHAR(9)&amp;CHAR(9)&amp;"&lt;attack&gt;"&amp;CG4&amp;"|"&amp;CH4&amp;"|"&amp;CI4&amp;"&lt;/attack&gt;")&amp;CHAR(13)&amp;CHAR(9)&amp;CHAR(9)&amp;"&lt;/"&amp;CD4&amp;"&gt;")</f>
        <v/>
      </c>
      <c r="L4" s="1" t="s">
        <v>76</v>
      </c>
      <c r="M4" s="1" t="s">
        <v>275</v>
      </c>
      <c r="N4" s="1">
        <f>DruidAlignment</f>
        <v>0</v>
      </c>
      <c r="O4" s="2">
        <v>2</v>
      </c>
      <c r="P4" s="1" t="s">
        <v>2</v>
      </c>
      <c r="Q4" s="1">
        <v>15</v>
      </c>
      <c r="R4" s="1" t="s">
        <v>405</v>
      </c>
      <c r="S4" s="1">
        <v>60</v>
      </c>
      <c r="T4" s="1">
        <v>60</v>
      </c>
      <c r="Y4" s="1">
        <v>19</v>
      </c>
      <c r="Z4" s="1">
        <v>13</v>
      </c>
      <c r="AA4" s="1">
        <v>17</v>
      </c>
      <c r="AB4" s="10">
        <f>DruidInt</f>
        <v>0</v>
      </c>
      <c r="AC4" s="10">
        <f>DruidWis</f>
        <v>0</v>
      </c>
      <c r="AD4" s="10">
        <f>DruidCha</f>
        <v>0</v>
      </c>
      <c r="AE4" s="12"/>
      <c r="AF4" s="12">
        <v>3</v>
      </c>
      <c r="AG4" s="12"/>
      <c r="AH4" s="12" t="s">
        <v>173</v>
      </c>
      <c r="AI4" s="12" t="str">
        <f>IF(ISBLANK(DruidAcrobatics),"",", Acrobatics +"&amp;DruidAcrobatics)&amp;IF(ISBLANK(DruidAnimalHandling),"",", Animal Handling +"&amp;DruidAnimalHandling)&amp;IF(ISBLANK(DruidArcana),"",", Arcana +"&amp;DruidArcana)&amp;IF(DruidAthletics+AE4=0,"",", Athletics +"&amp;MAX(DruidAthletics,AE4))&amp;IF(ISBLANK(DruidDeception),"",",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+"&amp;DruidNature)&amp;IF(DruidPerception+AF4=0,"",", Perception +"&amp;MAX(DruidPerception,AF4))&amp;IF(ISBLANK(DruidPerformance),"",", Performance +"&amp;DruidPerformance)&amp;IF(ISBLANK(DruidPersuasion),"",", Persuasion +"&amp;DruidPersuasion)&amp;IF(ISBLANK(DruidReligion),"",", Religion +"&amp;DruidReligion)&amp;IF(ISBLANK(DruidSleightofHand),"",", Sleight of Hand +"&amp;DruidSleightofHand)&amp;IF(DruidStealth+AG4=0,"",", Stealth +"&amp;MAX(DruidStealth,AG4))&amp;IF(ISBLANK(DruidSurvival),"",", Survival +"&amp;DruidSurvival)</f>
        <v>, Perception +3</v>
      </c>
      <c r="AJ4" s="1" t="str">
        <f>RIGHT(AI4,LEN(AI4)-2)</f>
        <v>Perception +3</v>
      </c>
      <c r="AK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 s="1" t="s">
        <v>173</v>
      </c>
      <c r="AN4" s="3">
        <f>IF(DruidPerception+AF4=0,10+(ROUNDDOWN((AC4-10)/2,0)),10+MAX(DruidPerception,AF4))</f>
        <v>13</v>
      </c>
      <c r="AT4" s="3" t="s">
        <v>77</v>
      </c>
      <c r="AU4" s="3" t="s">
        <v>148</v>
      </c>
      <c r="AV4" s="3" t="s">
        <v>160</v>
      </c>
      <c r="AW4" s="3" t="s">
        <v>173</v>
      </c>
      <c r="AZ4" s="3"/>
      <c r="BA4" s="3" t="s">
        <v>161</v>
      </c>
      <c r="BB4" s="3" t="s">
        <v>150</v>
      </c>
      <c r="BC4" s="3" t="s">
        <v>162</v>
      </c>
      <c r="BD4" s="3" t="s">
        <v>173</v>
      </c>
      <c r="BE4" s="3" t="s">
        <v>161</v>
      </c>
      <c r="BF4" s="3">
        <v>6</v>
      </c>
      <c r="BG4" s="3" t="s">
        <v>163</v>
      </c>
      <c r="BH4" s="3" t="s">
        <v>164</v>
      </c>
      <c r="BI4" s="3" t="s">
        <v>150</v>
      </c>
      <c r="BJ4" s="3" t="s">
        <v>165</v>
      </c>
      <c r="BK4" s="3" t="s">
        <v>173</v>
      </c>
      <c r="BL4" s="3" t="s">
        <v>164</v>
      </c>
      <c r="BM4" s="3">
        <v>6</v>
      </c>
      <c r="BN4" s="3" t="s">
        <v>166</v>
      </c>
      <c r="BR4" s="3" t="s">
        <v>173</v>
      </c>
      <c r="BY4" s="3" t="s">
        <v>173</v>
      </c>
      <c r="CJ4" s="6">
        <v>2</v>
      </c>
      <c r="CK4" s="6">
        <f>IF(CJ4&lt;0.26,2,IF(CJ4&lt;0.51,4,IF(CJ4&lt;1.1,8,99)))</f>
        <v>99</v>
      </c>
      <c r="CL4" s="3">
        <f>IF(M4="Elemental",10,IF(CJ4&lt;2,2,CJ4*3))</f>
        <v>6</v>
      </c>
      <c r="CM4" s="3">
        <f>IF(W4&gt;0,8,0)</f>
        <v>0</v>
      </c>
      <c r="CN4" s="3">
        <f>IF(X4&gt;0,4,0)</f>
        <v>0</v>
      </c>
    </row>
    <row r="5" spans="1:93">
      <c r="A5" s="3" t="str">
        <f>IF(DruidLevel&lt;B5,"",CHAR(9)&amp;"&lt;monster&gt;"&amp;CHAR(13)&amp;CHAR(9)&amp;CHAR(9)&amp;"&lt;name&gt;"&amp;L5&amp;" (Wild Shape)&lt;/name&gt;"&amp;CHAR(13)&amp;CHAR(9)&amp;CHAR(9)&amp;"&lt;size&gt;"&amp;LEFT(P5,1)&amp;"&lt;/size&gt;"&amp;CHAR(13)&amp;CHAR(9)&amp;CHAR(9)&amp;"&lt;type&gt;"&amp;M5&amp;"&lt;/type&gt;"&amp;CHAR(13)&amp;CHAR(9)&amp;CHAR(9)&amp;"&lt;alignment&gt;"&amp;N5&amp;"&lt;/alignment&gt;"&amp;CHAR(13)&amp;CHAR(9)&amp;CHAR(9)&amp;"&lt;ac&gt;"&amp;Q5&amp;IF(ISBLANK(R5),""," ("&amp;R5&amp;")")&amp;"&lt;/ac&gt;"&amp;CHAR(13)&amp;CHAR(9)&amp;CHAR(9)&amp;"&lt;hp&gt;"&amp;S5&amp;"&lt;/hp&gt;"&amp;CHAR(13)&amp;CHAR(9)&amp;CHAR(9)&amp;"&lt;speed&gt;"&amp;E5&amp;"&lt;/speed&gt;"&amp;CHAR(13)&amp;CHAR(9)&amp;CHAR(9)&amp;"&lt;str&gt;"&amp;Y5&amp;"&lt;/str&gt;&lt;dex&gt;"&amp;Z5&amp;"&lt;/dex&gt;&lt;con&gt;"&amp;AA5&amp;"&lt;/con&gt;&lt;int&gt;"&amp;AB5&amp;"&lt;/int&gt;&lt;wis&gt;"&amp;AC5&amp;"&lt;/wis&gt;&lt;cha&gt;"&amp;AD5&amp;"&lt;/cha&gt;"&amp;CHAR(13)&amp;CHAR(9)&amp;CHAR(9)&amp;"&lt;save&gt;"&amp;AK5&amp;"&lt;/save&gt;"&amp;CHAR(13)&amp;CHAR(9)&amp;CHAR(9)&amp;"&lt;skill&gt;"&amp;AJ5&amp;"&lt;/skill&gt;"&amp;CHAR(13)&amp;CHAR(9)&amp;CHAR(9)&amp;"&lt;vulnerable&gt;"&amp;AO5&amp;"&lt;/vulnerable&gt;"&amp;CHAR(13)&amp;CHAR(9)&amp;CHAR(9)&amp;"&lt;resist&gt;"&amp;AP5&amp;"&lt;/resist&gt;"&amp;CHAR(13)&amp;CHAR(9)&amp;CHAR(9)&amp;"&lt;immune&gt;"&amp;AQ5&amp;"&lt;/immune&gt;"&amp;CHAR(13)&amp;CHAR(9)&amp;CHAR(9)&amp;"&lt;conditionImmune&gt;"&amp;AR5&amp;"&lt;/conditionImmune&gt;"&amp;CHAR(13)&amp;CHAR(9)&amp;CHAR(9)&amp;"&lt;senses&gt;"&amp;AM5&amp;"&lt;/senses&gt;"&amp;CHAR(13)&amp;CHAR(9)&amp;CHAR(9)&amp;"&lt;passive&gt;"&amp;AN5&amp;"&lt;/passive&gt;"&amp;CHAR(13)&amp;CHAR(9)&amp;CHAR(9)&amp;"&lt;languages&gt;"&amp;AS5&amp;"&lt;/languages&gt;"&amp;CHAR(13)&amp;CHAR(9)&amp;CHAR(9)&amp;"&lt;cr&gt;"&amp;O5&amp;"&lt;/cr&gt;"&amp;F5&amp;G5&amp;H5&amp;I5&amp;J5&amp;K5&amp;IF(C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 s="3">
        <f>IF(COTM=TRUE,MAX(CL5,CM5,CN5),MAX(CK5,CM5,CN5))</f>
        <v>99</v>
      </c>
      <c r="C5" s="11" t="str">
        <f>IF(COTM=FALSE,"",IF(DruidLevel&gt;5,"Y",""))</f>
        <v/>
      </c>
      <c r="D5" s="3" t="s">
        <v>173</v>
      </c>
      <c r="E5" s="3" t="str">
        <f>T5&amp;" ft."&amp;IF(U5+V5+W5+X5=0,"",", ")&amp;IF(ISBLANK(U5),"","burrow "&amp;U5&amp;" ft."&amp;IF(V5+W5+X5=0,"",", "))&amp;IF(ISBLANK(V5),"","climb "&amp;V5&amp;" ft."&amp;IF(W5+X5=0,"",", "))&amp;IF(ISBLANK(W5),"","fly "&amp;W5&amp;" ft."&amp;IF(X5=0,"",", "))&amp;IF(ISBLANK(X5),"","swim "&amp;X5&amp;" ft.")</f>
        <v>30 ft.</v>
      </c>
      <c r="F5" s="3" t="str">
        <f>IF(ISBLANK(AT5),"",CHAR(13)&amp;CHAR(9)&amp;CHAR(9)&amp;"&lt;"&amp;AU5&amp;"&gt;"&amp;CHAR(13)&amp;CHAR(9)&amp;CHAR(9)&amp;CHAR(9)&amp;"&lt;name&gt;"&amp;AT5&amp;"&lt;/name&gt;"&amp;CHAR(13)&amp;CHAR(9)&amp;CHAR(9)&amp;CHAR(9)&amp;"&lt;text&gt;"&amp;AV5&amp;"&lt;/text&gt;"&amp;IF(ISBLANK(AX5),"",CHAR(13)&amp;CHAR(9)&amp;CHAR(9)&amp;CHAR(9)&amp;"&lt;attack&gt;"&amp;AX5&amp;"|"&amp;AY5&amp;"|"&amp;AZ5&amp;"&lt;/attack&gt;")&amp;CHAR(13)&amp;CHAR(9)&amp;CHAR(9)&amp;"&lt;/"&amp;AU5&amp;"&gt;")</f>
        <v>_x000D_		&lt;action&gt;_x000D_			&lt;name&gt;Tail&lt;/name&gt;_x000D_			&lt;text&gt;Melee Weapon Attack: +7 to hit, reach 10 ft., one target. Hit: 18 (4d6 + 4) bludgeoning damage. If the target is a creature, it must succeed on a DC 14 Strength saving throw or be knocked prone.&lt;/text&gt;_x000D_		&lt;/action&gt;</v>
      </c>
      <c r="G5" s="3" t="str">
        <f>IF(ISBLANK(BA5),"",CHAR(13)&amp;CHAR(9)&amp;CHAR(9)&amp;"&lt;"&amp;BB5&amp;"&gt;"&amp;CHAR(13)&amp;CHAR(9)&amp;CHAR(9)&amp;CHAR(9)&amp;"&lt;name&gt;"&amp;BA5&amp;"&lt;/name&gt;"&amp;CHAR(13)&amp;CHAR(9)&amp;CHAR(9)&amp;CHAR(9)&amp;"&lt;text&gt;"&amp;BC5&amp;"&lt;/text&gt;"&amp;IF(ISBLANK(BE5),"",CHAR(13)&amp;CHAR(9)&amp;CHAR(9)&amp;CHAR(9)&amp;"&lt;attack&gt;"&amp;BE5&amp;"|"&amp;BF5&amp;"|"&amp;BG5&amp;"&lt;/attack&gt;")&amp;CHAR(13)&amp;CHAR(9)&amp;CHAR(9)&amp;"&lt;/"&amp;BB5&amp;"&gt;")</f>
        <v/>
      </c>
      <c r="H5" s="3" t="str">
        <f>IF(ISBLANK(BH5),"",CHAR(13)&amp;CHAR(9)&amp;CHAR(9)&amp;"&lt;"&amp;BI5&amp;"&gt;"&amp;CHAR(13)&amp;CHAR(9)&amp;CHAR(9)&amp;CHAR(9)&amp;"&lt;name&gt;"&amp;BH5&amp;"&lt;/name&gt;"&amp;CHAR(13)&amp;CHAR(9)&amp;CHAR(9)&amp;CHAR(9)&amp;"&lt;text&gt;"&amp;BJ5&amp;"&lt;/text&gt;"&amp;IF(ISBLANK(BL5),"",CHAR(13)&amp;CHAR(9)&amp;CHAR(9)&amp;CHAR(9)&amp;"&lt;attack&gt;"&amp;BL5&amp;"|"&amp;BM5&amp;"|"&amp;BN5&amp;"&lt;/attack&gt;")&amp;CHAR(13)&amp;CHAR(9)&amp;CHAR(9)&amp;"&lt;/"&amp;BI5&amp;"&gt;")</f>
        <v/>
      </c>
      <c r="I5" s="3" t="str">
        <f>IF(ISBLANK(BO5),"",CHAR(13)&amp;CHAR(9)&amp;CHAR(9)&amp;"&lt;"&amp;BP5&amp;"&gt;"&amp;CHAR(13)&amp;CHAR(9)&amp;CHAR(9)&amp;CHAR(9)&amp;"&lt;name&gt;"&amp;BO5&amp;"&lt;/name&gt;"&amp;CHAR(13)&amp;CHAR(9)&amp;CHAR(9)&amp;CHAR(9)&amp;"&lt;text&gt;"&amp;BQ5&amp;"&lt;/text&gt;"&amp;IF(ISBLANK(BS5),"",CHAR(13)&amp;CHAR(9)&amp;CHAR(9)&amp;CHAR(9)&amp;"&lt;attack&gt;"&amp;BS5&amp;"|"&amp;BT5&amp;"|"&amp;BU5&amp;"&lt;/attack&gt;")&amp;CHAR(13)&amp;CHAR(9)&amp;CHAR(9)&amp;"&lt;/"&amp;BP5&amp;"&gt;")</f>
        <v/>
      </c>
      <c r="J5" s="3" t="str">
        <f>IF(ISBLANK(BV5),"",CHAR(13)&amp;CHAR(9)&amp;CHAR(9)&amp;"&lt;"&amp;BW5&amp;"&gt;"&amp;CHAR(13)&amp;CHAR(9)&amp;CHAR(9)&amp;CHAR(9)&amp;"&lt;name&gt;"&amp;BV5&amp;"&lt;/name&gt;"&amp;CHAR(13)&amp;CHAR(9)&amp;CHAR(9)&amp;CHAR(9)&amp;"&lt;text&gt;"&amp;BX5&amp;"&lt;/text&gt;"&amp;IF(ISBLANK(BZ5),"",CHAR(13)&amp;CHAR(9)&amp;CHAR(9)&amp;CHAR(9)&amp;"&lt;attack&gt;"&amp;BZ5&amp;"|"&amp;CA5&amp;"|"&amp;CB5&amp;"&lt;/attack&gt;")&amp;CHAR(13)&amp;CHAR(9)&amp;CHAR(9)&amp;"&lt;/"&amp;BW5&amp;"&gt;")</f>
        <v/>
      </c>
      <c r="K5" s="3" t="str">
        <f>IF(ISBLANK(CC5),"",CHAR(13)&amp;CHAR(9)&amp;CHAR(9)&amp;"&lt;"&amp;CD5&amp;"&gt;"&amp;CHAR(13)&amp;CHAR(9)&amp;CHAR(9)&amp;CHAR(9)&amp;"&lt;name&gt;"&amp;CC5&amp;"&lt;/name&gt;"&amp;CHAR(13)&amp;CHAR(9)&amp;CHAR(9)&amp;CHAR(9)&amp;"&lt;text&gt;"&amp;CE5&amp;"&lt;/text&gt;"&amp;IF(ISBLANK(CG5),"",CHAR(13)&amp;CHAR(9)&amp;CHAR(9)&amp;CHAR(9)&amp;"&lt;attack&gt;"&amp;CG5&amp;"|"&amp;CH5&amp;"|"&amp;CI5&amp;"&lt;/attack&gt;")&amp;CHAR(13)&amp;CHAR(9)&amp;CHAR(9)&amp;"&lt;/"&amp;CD5&amp;"&gt;")</f>
        <v/>
      </c>
      <c r="L5" s="1" t="s">
        <v>100</v>
      </c>
      <c r="M5" s="1" t="s">
        <v>275</v>
      </c>
      <c r="N5" s="1">
        <f>DruidAlignment</f>
        <v>0</v>
      </c>
      <c r="O5" s="2">
        <v>3</v>
      </c>
      <c r="P5" s="1" t="s">
        <v>80</v>
      </c>
      <c r="Q5" s="1">
        <v>15</v>
      </c>
      <c r="R5" s="1" t="s">
        <v>405</v>
      </c>
      <c r="S5" s="1">
        <v>68</v>
      </c>
      <c r="T5" s="1">
        <v>30</v>
      </c>
      <c r="Y5" s="1">
        <v>19</v>
      </c>
      <c r="Z5" s="1">
        <v>11</v>
      </c>
      <c r="AA5" s="1">
        <v>15</v>
      </c>
      <c r="AB5" s="10">
        <f>DruidInt</f>
        <v>0</v>
      </c>
      <c r="AC5" s="10">
        <f>DruidWis</f>
        <v>0</v>
      </c>
      <c r="AD5" s="10">
        <f>DruidCha</f>
        <v>0</v>
      </c>
      <c r="AE5" s="12"/>
      <c r="AF5" s="12"/>
      <c r="AG5" s="12"/>
      <c r="AH5" s="12" t="s">
        <v>173</v>
      </c>
      <c r="AI5" s="12" t="str">
        <f>IF(ISBLANK(DruidAcrobatics),"",", Acrobatics +"&amp;DruidAcrobatics)&amp;IF(ISBLANK(DruidAnimalHandling),"",", Animal Handling +"&amp;DruidAnimalHandling)&amp;IF(ISBLANK(DruidArcana),"",", Arcana +"&amp;DruidArcana)&amp;IF(DruidAthletics+AE5=0,"",", Athletics +"&amp;MAX(DruidAthletics,AE5))&amp;IF(ISBLANK(DruidDeception),"",",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+"&amp;DruidNature)&amp;IF(DruidPerception+AF5=0,"",", Perception +"&amp;MAX(DruidPerception,AF5))&amp;IF(ISBLANK(DruidPerformance),"",", Performance +"&amp;DruidPerformance)&amp;IF(ISBLANK(DruidPersuasion),"",", Persuasion +"&amp;DruidPersuasion)&amp;IF(ISBLANK(DruidReligion),"",", Religion +"&amp;DruidReligion)&amp;IF(ISBLANK(DruidSleightofHand),"",", Sleight of Hand +"&amp;DruidSleightofHand)&amp;IF(DruidStealth+AG5=0,"",", Stealth +"&amp;MAX(DruidStealth,AG5))&amp;IF(ISBLANK(DruidSurvival),"",", Survival +"&amp;DruidSurvival)</f>
        <v/>
      </c>
      <c r="AJ5" s="1" t="e">
        <f>RIGHT(AI5,LEN(AI5)-2)</f>
        <v>#VALUE!</v>
      </c>
      <c r="AK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 s="1" t="s">
        <v>173</v>
      </c>
      <c r="AN5" s="3">
        <f>IF(DruidPerception+AF5=0,10+(ROUNDDOWN((AC5-10)/2,0)),10+MAX(DruidPerception,AF5))</f>
        <v>5</v>
      </c>
      <c r="AT5" s="3" t="s">
        <v>167</v>
      </c>
      <c r="AU5" s="3" t="s">
        <v>150</v>
      </c>
      <c r="AV5" s="3" t="s">
        <v>168</v>
      </c>
      <c r="AW5" s="3" t="s">
        <v>173</v>
      </c>
      <c r="AZ5" s="3"/>
      <c r="BD5" s="3" t="s">
        <v>173</v>
      </c>
      <c r="BG5" s="3"/>
      <c r="BK5" s="3" t="s">
        <v>173</v>
      </c>
      <c r="BN5" s="3"/>
      <c r="BR5" s="3" t="s">
        <v>173</v>
      </c>
      <c r="BY5" s="3" t="s">
        <v>173</v>
      </c>
      <c r="CJ5" s="6">
        <v>3</v>
      </c>
      <c r="CK5" s="6">
        <f>IF(CJ5&lt;0.26,2,IF(CJ5&lt;0.51,4,IF(CJ5&lt;1.1,8,99)))</f>
        <v>99</v>
      </c>
      <c r="CL5" s="3">
        <f>IF(M5="Elemental",10,IF(CJ5&lt;2,2,CJ5*3))</f>
        <v>9</v>
      </c>
      <c r="CM5" s="3">
        <f>IF(W5&gt;0,8,0)</f>
        <v>0</v>
      </c>
      <c r="CN5" s="3">
        <f>IF(X5&gt;0,4,0)</f>
        <v>0</v>
      </c>
    </row>
    <row r="6" spans="1:93">
      <c r="A6" s="3" t="str">
        <f>IF(DruidLevel&lt;B6,"",CHAR(9)&amp;"&lt;monster&gt;"&amp;CHAR(13)&amp;CHAR(9)&amp;CHAR(9)&amp;"&lt;name&gt;"&amp;L6&amp;" (Wild Shape)&lt;/name&gt;"&amp;CHAR(13)&amp;CHAR(9)&amp;CHAR(9)&amp;"&lt;size&gt;"&amp;LEFT(P6,1)&amp;"&lt;/size&gt;"&amp;CHAR(13)&amp;CHAR(9)&amp;CHAR(9)&amp;"&lt;type&gt;"&amp;M6&amp;"&lt;/type&gt;"&amp;CHAR(13)&amp;CHAR(9)&amp;CHAR(9)&amp;"&lt;alignment&gt;"&amp;N6&amp;"&lt;/alignment&gt;"&amp;CHAR(13)&amp;CHAR(9)&amp;CHAR(9)&amp;"&lt;ac&gt;"&amp;Q6&amp;IF(ISBLANK(R6),""," ("&amp;R6&amp;")")&amp;"&lt;/ac&gt;"&amp;CHAR(13)&amp;CHAR(9)&amp;CHAR(9)&amp;"&lt;hp&gt;"&amp;S6&amp;"&lt;/hp&gt;"&amp;CHAR(13)&amp;CHAR(9)&amp;CHAR(9)&amp;"&lt;speed&gt;"&amp;E6&amp;"&lt;/speed&gt;"&amp;CHAR(13)&amp;CHAR(9)&amp;CHAR(9)&amp;"&lt;str&gt;"&amp;Y6&amp;"&lt;/str&gt;&lt;dex&gt;"&amp;Z6&amp;"&lt;/dex&gt;&lt;con&gt;"&amp;AA6&amp;"&lt;/con&gt;&lt;int&gt;"&amp;AB6&amp;"&lt;/int&gt;&lt;wis&gt;"&amp;AC6&amp;"&lt;/wis&gt;&lt;cha&gt;"&amp;AD6&amp;"&lt;/cha&gt;"&amp;CHAR(13)&amp;CHAR(9)&amp;CHAR(9)&amp;"&lt;save&gt;"&amp;AK6&amp;"&lt;/save&gt;"&amp;CHAR(13)&amp;CHAR(9)&amp;CHAR(9)&amp;"&lt;skill&gt;"&amp;AJ6&amp;"&lt;/skill&gt;"&amp;CHAR(13)&amp;CHAR(9)&amp;CHAR(9)&amp;"&lt;vulnerable&gt;"&amp;AO6&amp;"&lt;/vulnerable&gt;"&amp;CHAR(13)&amp;CHAR(9)&amp;CHAR(9)&amp;"&lt;resist&gt;"&amp;AP6&amp;"&lt;/resist&gt;"&amp;CHAR(13)&amp;CHAR(9)&amp;CHAR(9)&amp;"&lt;immune&gt;"&amp;AQ6&amp;"&lt;/immune&gt;"&amp;CHAR(13)&amp;CHAR(9)&amp;CHAR(9)&amp;"&lt;conditionImmune&gt;"&amp;AR6&amp;"&lt;/conditionImmune&gt;"&amp;CHAR(13)&amp;CHAR(9)&amp;CHAR(9)&amp;"&lt;senses&gt;"&amp;AM6&amp;"&lt;/senses&gt;"&amp;CHAR(13)&amp;CHAR(9)&amp;CHAR(9)&amp;"&lt;passive&gt;"&amp;AN6&amp;"&lt;/passive&gt;"&amp;CHAR(13)&amp;CHAR(9)&amp;CHAR(9)&amp;"&lt;languages&gt;"&amp;AS6&amp;"&lt;/languages&gt;"&amp;CHAR(13)&amp;CHAR(9)&amp;CHAR(9)&amp;"&lt;cr&gt;"&amp;O6&amp;"&lt;/cr&gt;"&amp;F6&amp;G6&amp;H6&amp;I6&amp;J6&amp;K6&amp;IF(C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 s="3">
        <f>IF(COTM=TRUE,MAX(CL6,CM6,CN6),MAX(CK6,CM6,CN6))</f>
        <v>4</v>
      </c>
      <c r="C6" s="11" t="str">
        <f>IF(COTM=FALSE,"",IF(DruidLevel&gt;5,"Y",""))</f>
        <v/>
      </c>
      <c r="D6" s="3" t="s">
        <v>173</v>
      </c>
      <c r="E6" s="3" t="str">
        <f>T6&amp;" ft."&amp;IF(U6+V6+W6+X6=0,"",", ")&amp;IF(ISBLANK(U6),"","burrow "&amp;U6&amp;" ft."&amp;IF(V6+W6+X6=0,"",", "))&amp;IF(ISBLANK(V6),"","climb "&amp;V6&amp;" ft."&amp;IF(W6+X6=0,"",", "))&amp;IF(ISBLANK(W6),"","fly "&amp;W6&amp;" ft."&amp;IF(X6=0,"",", "))&amp;IF(ISBLANK(X6),"","swim "&amp;X6&amp;" ft.")</f>
        <v>30 ft., climb 30 ft.</v>
      </c>
      <c r="F6" s="3" t="str">
        <f>IF(ISBLANK(AT6),"",CHAR(13)&amp;CHAR(9)&amp;CHAR(9)&amp;"&lt;"&amp;AU6&amp;"&gt;"&amp;CHAR(13)&amp;CHAR(9)&amp;CHAR(9)&amp;CHAR(9)&amp;"&lt;name&gt;"&amp;AT6&amp;"&lt;/name&gt;"&amp;CHAR(13)&amp;CHAR(9)&amp;CHAR(9)&amp;CHAR(9)&amp;"&lt;text&gt;"&amp;AV6&amp;"&lt;/text&gt;"&amp;IF(ISBLANK(AX6),"",CHAR(13)&amp;CHAR(9)&amp;CHAR(9)&amp;CHAR(9)&amp;"&lt;attack&gt;"&amp;AX6&amp;"|"&amp;AY6&amp;"|"&amp;AZ6&amp;"&lt;/attack&gt;")&amp;CHAR(13)&amp;CHAR(9)&amp;CHAR(9)&amp;"&lt;/"&amp;AU6&amp;"&gt;")</f>
        <v>_x000D_		&lt;action&gt;_x000D_			&lt;name&gt;Multiattack&lt;/name&gt;_x000D_			&lt;text&gt;The ape makes two fist attacks.&lt;/text&gt;_x000D_		&lt;/action&gt;</v>
      </c>
      <c r="G6" s="3" t="str">
        <f>IF(ISBLANK(BA6),"",CHAR(13)&amp;CHAR(9)&amp;CHAR(9)&amp;"&lt;"&amp;BB6&amp;"&gt;"&amp;CHAR(13)&amp;CHAR(9)&amp;CHAR(9)&amp;CHAR(9)&amp;"&lt;name&gt;"&amp;BA6&amp;"&lt;/name&gt;"&amp;CHAR(13)&amp;CHAR(9)&amp;CHAR(9)&amp;CHAR(9)&amp;"&lt;text&gt;"&amp;BC6&amp;"&lt;/text&gt;"&amp;IF(ISBLANK(BE6),"",CHAR(13)&amp;CHAR(9)&amp;CHAR(9)&amp;CHAR(9)&amp;"&lt;attack&gt;"&amp;BE6&amp;"|"&amp;BF6&amp;"|"&amp;BG6&amp;"&lt;/attack&gt;")&amp;CHAR(13)&amp;CHAR(9)&amp;CHAR(9)&amp;"&lt;/"&amp;BB6&amp;"&gt;")</f>
        <v>_x000D_		&lt;action&gt;_x000D_			&lt;name&gt;Fist&lt;/name&gt;_x000D_			&lt;text&gt;Melee Weapon Attack: +5 to hit, reach 5 ft., one target. Hit: 6 (1d6+3) bludgeoning damage.&lt;/text&gt;_x000D_			&lt;attack&gt;Fist|5|1d6+3&lt;/attack&gt;_x000D_		&lt;/action&gt;</v>
      </c>
      <c r="H6" s="3" t="str">
        <f>IF(ISBLANK(BH6),"",CHAR(13)&amp;CHAR(9)&amp;CHAR(9)&amp;"&lt;"&amp;BI6&amp;"&gt;"&amp;CHAR(13)&amp;CHAR(9)&amp;CHAR(9)&amp;CHAR(9)&amp;"&lt;name&gt;"&amp;BH6&amp;"&lt;/name&gt;"&amp;CHAR(13)&amp;CHAR(9)&amp;CHAR(9)&amp;CHAR(9)&amp;"&lt;text&gt;"&amp;BJ6&amp;"&lt;/text&gt;"&amp;IF(ISBLANK(BL6),"",CHAR(13)&amp;CHAR(9)&amp;CHAR(9)&amp;CHAR(9)&amp;"&lt;attack&gt;"&amp;BL6&amp;"|"&amp;BM6&amp;"|"&amp;BN6&amp;"&lt;/attack&gt;")&amp;CHAR(13)&amp;CHAR(9)&amp;CHAR(9)&amp;"&lt;/"&amp;BI6&amp;"&gt;")</f>
        <v>_x000D_		&lt;action&gt;_x000D_			&lt;name&gt;Rock&lt;/name&gt;_x000D_			&lt;text&gt;Ranged Weapon Attack: +5 to hit, range 25/50 ft., one target. Hit: 6 (1d6+3) bludgeoning damage.&lt;/text&gt;_x000D_			&lt;attack&gt;Rock|5|1d6+3&lt;/attack&gt;_x000D_		&lt;/action&gt;</v>
      </c>
      <c r="I6" s="3" t="str">
        <f>IF(ISBLANK(BO6),"",CHAR(13)&amp;CHAR(9)&amp;CHAR(9)&amp;"&lt;"&amp;BP6&amp;"&gt;"&amp;CHAR(13)&amp;CHAR(9)&amp;CHAR(9)&amp;CHAR(9)&amp;"&lt;name&gt;"&amp;BO6&amp;"&lt;/name&gt;"&amp;CHAR(13)&amp;CHAR(9)&amp;CHAR(9)&amp;CHAR(9)&amp;"&lt;text&gt;"&amp;BQ6&amp;"&lt;/text&gt;"&amp;IF(ISBLANK(BS6),"",CHAR(13)&amp;CHAR(9)&amp;CHAR(9)&amp;CHAR(9)&amp;"&lt;attack&gt;"&amp;BS6&amp;"|"&amp;BT6&amp;"|"&amp;BU6&amp;"&lt;/attack&gt;")&amp;CHAR(13)&amp;CHAR(9)&amp;CHAR(9)&amp;"&lt;/"&amp;BP6&amp;"&gt;")</f>
        <v/>
      </c>
      <c r="J6" s="3" t="str">
        <f>IF(ISBLANK(BV6),"",CHAR(13)&amp;CHAR(9)&amp;CHAR(9)&amp;"&lt;"&amp;BW6&amp;"&gt;"&amp;CHAR(13)&amp;CHAR(9)&amp;CHAR(9)&amp;CHAR(9)&amp;"&lt;name&gt;"&amp;BV6&amp;"&lt;/name&gt;"&amp;CHAR(13)&amp;CHAR(9)&amp;CHAR(9)&amp;CHAR(9)&amp;"&lt;text&gt;"&amp;BX6&amp;"&lt;/text&gt;"&amp;IF(ISBLANK(BZ6),"",CHAR(13)&amp;CHAR(9)&amp;CHAR(9)&amp;CHAR(9)&amp;"&lt;attack&gt;"&amp;BZ6&amp;"|"&amp;CA6&amp;"|"&amp;CB6&amp;"&lt;/attack&gt;")&amp;CHAR(13)&amp;CHAR(9)&amp;CHAR(9)&amp;"&lt;/"&amp;BW6&amp;"&gt;")</f>
        <v/>
      </c>
      <c r="K6" s="3" t="str">
        <f>IF(ISBLANK(CC6),"",CHAR(13)&amp;CHAR(9)&amp;CHAR(9)&amp;"&lt;"&amp;CD6&amp;"&gt;"&amp;CHAR(13)&amp;CHAR(9)&amp;CHAR(9)&amp;CHAR(9)&amp;"&lt;name&gt;"&amp;CC6&amp;"&lt;/name&gt;"&amp;CHAR(13)&amp;CHAR(9)&amp;CHAR(9)&amp;CHAR(9)&amp;"&lt;text&gt;"&amp;CE6&amp;"&lt;/text&gt;"&amp;IF(ISBLANK(CG6),"",CHAR(13)&amp;CHAR(9)&amp;CHAR(9)&amp;CHAR(9)&amp;"&lt;attack&gt;"&amp;CG6&amp;"|"&amp;CH6&amp;"|"&amp;CI6&amp;"&lt;/attack&gt;")&amp;CHAR(13)&amp;CHAR(9)&amp;CHAR(9)&amp;"&lt;/"&amp;CD6&amp;"&gt;")</f>
        <v/>
      </c>
      <c r="L6" s="1" t="s">
        <v>45</v>
      </c>
      <c r="M6" s="1" t="s">
        <v>275</v>
      </c>
      <c r="N6" s="1">
        <f>DruidAlignment</f>
        <v>0</v>
      </c>
      <c r="O6" s="2" t="s">
        <v>206</v>
      </c>
      <c r="P6" s="1" t="s">
        <v>17</v>
      </c>
      <c r="Q6" s="1">
        <v>12</v>
      </c>
      <c r="R6" s="1"/>
      <c r="S6" s="1">
        <v>19</v>
      </c>
      <c r="T6" s="1">
        <v>30</v>
      </c>
      <c r="V6" s="1">
        <v>30</v>
      </c>
      <c r="Y6" s="1">
        <v>16</v>
      </c>
      <c r="Z6" s="1">
        <v>14</v>
      </c>
      <c r="AA6" s="1">
        <v>14</v>
      </c>
      <c r="AB6" s="10">
        <f>DruidInt</f>
        <v>0</v>
      </c>
      <c r="AC6" s="10">
        <f>DruidWis</f>
        <v>0</v>
      </c>
      <c r="AD6" s="10">
        <f>DruidCha</f>
        <v>0</v>
      </c>
      <c r="AE6" s="12">
        <v>5</v>
      </c>
      <c r="AF6" s="12">
        <v>5</v>
      </c>
      <c r="AG6" s="12"/>
      <c r="AH6" s="12" t="s">
        <v>173</v>
      </c>
      <c r="AI6" s="12" t="str">
        <f>IF(ISBLANK(DruidAcrobatics),"",", Acrobatics +"&amp;DruidAcrobatics)&amp;IF(ISBLANK(DruidAnimalHandling),"",", Animal Handling +"&amp;DruidAnimalHandling)&amp;IF(ISBLANK(DruidArcana),"",", Arcana +"&amp;DruidArcana)&amp;IF(DruidAthletics+AE6=0,"",", Athletics +"&amp;MAX(DruidAthletics,AE6))&amp;IF(ISBLANK(DruidDeception),"",",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+"&amp;DruidNature)&amp;IF(DruidPerception+AF6=0,"",", Perception +"&amp;MAX(DruidPerception,AF6))&amp;IF(ISBLANK(DruidPerformance),"",", Performance +"&amp;DruidPerformance)&amp;IF(ISBLANK(DruidPersuasion),"",", Persuasion +"&amp;DruidPersuasion)&amp;IF(ISBLANK(DruidReligion),"",", Religion +"&amp;DruidReligion)&amp;IF(ISBLANK(DruidSleightofHand),"",", Sleight of Hand +"&amp;DruidSleightofHand)&amp;IF(DruidStealth+AG6=0,"",", Stealth +"&amp;MAX(DruidStealth,AG6))&amp;IF(ISBLANK(DruidSurvival),"",", Survival +"&amp;DruidSurvival)</f>
        <v>, Athletics +5, Perception +5</v>
      </c>
      <c r="AJ6" s="1" t="str">
        <f>RIGHT(AI6,LEN(AI6)-2)</f>
        <v>Athletics +5, Perception +5</v>
      </c>
      <c r="AK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 s="1" t="s">
        <v>173</v>
      </c>
      <c r="AN6" s="3">
        <f>IF(DruidPerception+AF6=0,10+(ROUNDDOWN((AC6-10)/2,0)),10+MAX(DruidPerception,AF6))</f>
        <v>15</v>
      </c>
      <c r="AT6" s="3" t="s">
        <v>149</v>
      </c>
      <c r="AU6" s="3" t="s">
        <v>150</v>
      </c>
      <c r="AV6" s="3" t="s">
        <v>169</v>
      </c>
      <c r="AW6" s="3" t="s">
        <v>173</v>
      </c>
      <c r="AZ6" s="3"/>
      <c r="BA6" s="3" t="s">
        <v>170</v>
      </c>
      <c r="BB6" s="3" t="s">
        <v>150</v>
      </c>
      <c r="BC6" s="3" t="s">
        <v>433</v>
      </c>
      <c r="BD6" s="3" t="s">
        <v>173</v>
      </c>
      <c r="BE6" s="3" t="s">
        <v>170</v>
      </c>
      <c r="BF6" s="3">
        <v>5</v>
      </c>
      <c r="BG6" s="3" t="s">
        <v>171</v>
      </c>
      <c r="BH6" s="3" t="s">
        <v>172</v>
      </c>
      <c r="BI6" s="3" t="s">
        <v>150</v>
      </c>
      <c r="BJ6" s="3" t="s">
        <v>434</v>
      </c>
      <c r="BK6" s="3" t="s">
        <v>173</v>
      </c>
      <c r="BL6" s="3" t="s">
        <v>172</v>
      </c>
      <c r="BM6" s="3">
        <v>5</v>
      </c>
      <c r="BN6" s="3" t="s">
        <v>171</v>
      </c>
      <c r="BR6" s="3" t="s">
        <v>173</v>
      </c>
      <c r="BY6" s="3" t="s">
        <v>173</v>
      </c>
      <c r="CJ6" s="6">
        <v>0.5</v>
      </c>
      <c r="CK6" s="6">
        <f>IF(CJ6&lt;0.26,2,IF(CJ6&lt;0.51,4,IF(CJ6&lt;1.1,8,99)))</f>
        <v>4</v>
      </c>
      <c r="CL6" s="3">
        <f>IF(M6="Elemental",10,IF(CJ6&lt;2,2,CJ6*3))</f>
        <v>2</v>
      </c>
      <c r="CM6" s="3">
        <f>IF(W6&gt;0,8,0)</f>
        <v>0</v>
      </c>
      <c r="CN6" s="3">
        <f>IF(X6&gt;0,4,0)</f>
        <v>0</v>
      </c>
    </row>
    <row r="7" spans="1:93">
      <c r="A7" s="3" t="str">
        <f>IF(DruidLevel&lt;B7,"",CHAR(9)&amp;"&lt;monster&gt;"&amp;CHAR(13)&amp;CHAR(9)&amp;CHAR(9)&amp;"&lt;name&gt;"&amp;L7&amp;" (Wild Shape)&lt;/name&gt;"&amp;CHAR(13)&amp;CHAR(9)&amp;CHAR(9)&amp;"&lt;size&gt;"&amp;LEFT(P7,1)&amp;"&lt;/size&gt;"&amp;CHAR(13)&amp;CHAR(9)&amp;CHAR(9)&amp;"&lt;type&gt;"&amp;M7&amp;"&lt;/type&gt;"&amp;CHAR(13)&amp;CHAR(9)&amp;CHAR(9)&amp;"&lt;alignment&gt;"&amp;N7&amp;"&lt;/alignment&gt;"&amp;CHAR(13)&amp;CHAR(9)&amp;CHAR(9)&amp;"&lt;ac&gt;"&amp;Q7&amp;IF(ISBLANK(R7),""," ("&amp;R7&amp;")")&amp;"&lt;/ac&gt;"&amp;CHAR(13)&amp;CHAR(9)&amp;CHAR(9)&amp;"&lt;hp&gt;"&amp;S7&amp;"&lt;/hp&gt;"&amp;CHAR(13)&amp;CHAR(9)&amp;CHAR(9)&amp;"&lt;speed&gt;"&amp;E7&amp;"&lt;/speed&gt;"&amp;CHAR(13)&amp;CHAR(9)&amp;CHAR(9)&amp;"&lt;str&gt;"&amp;Y7&amp;"&lt;/str&gt;&lt;dex&gt;"&amp;Z7&amp;"&lt;/dex&gt;&lt;con&gt;"&amp;AA7&amp;"&lt;/con&gt;&lt;int&gt;"&amp;AB7&amp;"&lt;/int&gt;&lt;wis&gt;"&amp;AC7&amp;"&lt;/wis&gt;&lt;cha&gt;"&amp;AD7&amp;"&lt;/cha&gt;"&amp;CHAR(13)&amp;CHAR(9)&amp;CHAR(9)&amp;"&lt;save&gt;"&amp;AK7&amp;"&lt;/save&gt;"&amp;CHAR(13)&amp;CHAR(9)&amp;CHAR(9)&amp;"&lt;skill&gt;"&amp;AJ7&amp;"&lt;/skill&gt;"&amp;CHAR(13)&amp;CHAR(9)&amp;CHAR(9)&amp;"&lt;vulnerable&gt;"&amp;AO7&amp;"&lt;/vulnerable&gt;"&amp;CHAR(13)&amp;CHAR(9)&amp;CHAR(9)&amp;"&lt;resist&gt;"&amp;AP7&amp;"&lt;/resist&gt;"&amp;CHAR(13)&amp;CHAR(9)&amp;CHAR(9)&amp;"&lt;immune&gt;"&amp;AQ7&amp;"&lt;/immune&gt;"&amp;CHAR(13)&amp;CHAR(9)&amp;CHAR(9)&amp;"&lt;conditionImmune&gt;"&amp;AR7&amp;"&lt;/conditionImmune&gt;"&amp;CHAR(13)&amp;CHAR(9)&amp;CHAR(9)&amp;"&lt;senses&gt;"&amp;AM7&amp;"&lt;/senses&gt;"&amp;CHAR(13)&amp;CHAR(9)&amp;CHAR(9)&amp;"&lt;passive&gt;"&amp;AN7&amp;"&lt;/passive&gt;"&amp;CHAR(13)&amp;CHAR(9)&amp;CHAR(9)&amp;"&lt;languages&gt;"&amp;AS7&amp;"&lt;/languages&gt;"&amp;CHAR(13)&amp;CHAR(9)&amp;CHAR(9)&amp;"&lt;cr&gt;"&amp;O7&amp;"&lt;/cr&gt;"&amp;F7&amp;G7&amp;H7&amp;I7&amp;J7&amp;K7&amp;IF(C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 s="3">
        <f>IF(COTM=TRUE,MAX(CL7,CM7,CN7),MAX(CK7,CM7,CN7))</f>
        <v>2</v>
      </c>
      <c r="C7" s="11" t="str">
        <f>IF(COTM=FALSE,"",IF(DruidLevel&gt;5,"Y",""))</f>
        <v/>
      </c>
      <c r="D7" s="3" t="s">
        <v>173</v>
      </c>
      <c r="E7" s="3" t="str">
        <f>T7&amp;" ft."&amp;IF(U7+V7+W7+X7=0,"",", ")&amp;IF(ISBLANK(U7),"","burrow "&amp;U7&amp;" ft."&amp;IF(V7+W7+X7=0,"",", "))&amp;IF(ISBLANK(V7),"","climb "&amp;V7&amp;" ft."&amp;IF(W7+X7=0,"",", "))&amp;IF(ISBLANK(W7),"","fly "&amp;W7&amp;" ft."&amp;IF(X7=0,"",", "))&amp;IF(ISBLANK(X7),"","swim "&amp;X7&amp;" ft.")</f>
        <v>50 ft.</v>
      </c>
      <c r="F7" s="3" t="str">
        <f>IF(ISBLANK(AT7),"",CHAR(13)&amp;CHAR(9)&amp;CHAR(9)&amp;"&lt;"&amp;AU7&amp;"&gt;"&amp;CHAR(13)&amp;CHAR(9)&amp;CHAR(9)&amp;CHAR(9)&amp;"&lt;name&gt;"&amp;AT7&amp;"&lt;/name&gt;"&amp;CHAR(13)&amp;CHAR(9)&amp;CHAR(9)&amp;CHAR(9)&amp;"&lt;text&gt;"&amp;AV7&amp;"&lt;/text&gt;"&amp;IF(ISBLANK(AX7),"",CHAR(13)&amp;CHAR(9)&amp;CHAR(9)&amp;CHAR(9)&amp;"&lt;attack&gt;"&amp;AX7&amp;"|"&amp;AY7&amp;"|"&amp;AZ7&amp;"&lt;/attack&gt;")&amp;CHAR(13)&amp;CHAR(9)&amp;CHAR(9)&amp;"&lt;/"&amp;AU7&amp;"&gt;")</f>
        <v>_x000D_		&lt;action&gt;_x000D_			&lt;name&gt;Beak&lt;/name&gt;_x000D_			&lt;text&gt;Melee Weapon Attack: +4 to hit, reach 5 ft., one target. Hit: 6 (1d8+2) slashing damage.&lt;/text&gt;_x000D_			&lt;attack&gt;Beak|4|1d8+2&lt;/attack&gt;_x000D_		&lt;/action&gt;</v>
      </c>
      <c r="G7" s="3" t="str">
        <f>IF(ISBLANK(BA7),"",CHAR(13)&amp;CHAR(9)&amp;CHAR(9)&amp;"&lt;"&amp;BB7&amp;"&gt;"&amp;CHAR(13)&amp;CHAR(9)&amp;CHAR(9)&amp;CHAR(9)&amp;"&lt;name&gt;"&amp;BA7&amp;"&lt;/name&gt;"&amp;CHAR(13)&amp;CHAR(9)&amp;CHAR(9)&amp;CHAR(9)&amp;"&lt;text&gt;"&amp;BC7&amp;"&lt;/text&gt;"&amp;IF(ISBLANK(BE7),"",CHAR(13)&amp;CHAR(9)&amp;CHAR(9)&amp;CHAR(9)&amp;"&lt;attack&gt;"&amp;BE7&amp;"|"&amp;BF7&amp;"|"&amp;BG7&amp;"&lt;/attack&gt;")&amp;CHAR(13)&amp;CHAR(9)&amp;CHAR(9)&amp;"&lt;/"&amp;BB7&amp;"&gt;")</f>
        <v/>
      </c>
      <c r="H7" s="3" t="str">
        <f>IF(ISBLANK(BH7),"",CHAR(13)&amp;CHAR(9)&amp;CHAR(9)&amp;"&lt;"&amp;BI7&amp;"&gt;"&amp;CHAR(13)&amp;CHAR(9)&amp;CHAR(9)&amp;CHAR(9)&amp;"&lt;name&gt;"&amp;BH7&amp;"&lt;/name&gt;"&amp;CHAR(13)&amp;CHAR(9)&amp;CHAR(9)&amp;CHAR(9)&amp;"&lt;text&gt;"&amp;BJ7&amp;"&lt;/text&gt;"&amp;IF(ISBLANK(BL7),"",CHAR(13)&amp;CHAR(9)&amp;CHAR(9)&amp;CHAR(9)&amp;"&lt;attack&gt;"&amp;BL7&amp;"|"&amp;BM7&amp;"|"&amp;BN7&amp;"&lt;/attack&gt;")&amp;CHAR(13)&amp;CHAR(9)&amp;CHAR(9)&amp;"&lt;/"&amp;BI7&amp;"&gt;")</f>
        <v/>
      </c>
      <c r="I7" s="3" t="str">
        <f>IF(ISBLANK(BO7),"",CHAR(13)&amp;CHAR(9)&amp;CHAR(9)&amp;"&lt;"&amp;BP7&amp;"&gt;"&amp;CHAR(13)&amp;CHAR(9)&amp;CHAR(9)&amp;CHAR(9)&amp;"&lt;name&gt;"&amp;BO7&amp;"&lt;/name&gt;"&amp;CHAR(13)&amp;CHAR(9)&amp;CHAR(9)&amp;CHAR(9)&amp;"&lt;text&gt;"&amp;BQ7&amp;"&lt;/text&gt;"&amp;IF(ISBLANK(BS7),"",CHAR(13)&amp;CHAR(9)&amp;CHAR(9)&amp;CHAR(9)&amp;"&lt;attack&gt;"&amp;BS7&amp;"|"&amp;BT7&amp;"|"&amp;BU7&amp;"&lt;/attack&gt;")&amp;CHAR(13)&amp;CHAR(9)&amp;CHAR(9)&amp;"&lt;/"&amp;BP7&amp;"&gt;")</f>
        <v/>
      </c>
      <c r="J7" s="3" t="str">
        <f>IF(ISBLANK(BV7),"",CHAR(13)&amp;CHAR(9)&amp;CHAR(9)&amp;"&lt;"&amp;BW7&amp;"&gt;"&amp;CHAR(13)&amp;CHAR(9)&amp;CHAR(9)&amp;CHAR(9)&amp;"&lt;name&gt;"&amp;BV7&amp;"&lt;/name&gt;"&amp;CHAR(13)&amp;CHAR(9)&amp;CHAR(9)&amp;CHAR(9)&amp;"&lt;text&gt;"&amp;BX7&amp;"&lt;/text&gt;"&amp;IF(ISBLANK(BZ7),"",CHAR(13)&amp;CHAR(9)&amp;CHAR(9)&amp;CHAR(9)&amp;"&lt;attack&gt;"&amp;BZ7&amp;"|"&amp;CA7&amp;"|"&amp;CB7&amp;"&lt;/attack&gt;")&amp;CHAR(13)&amp;CHAR(9)&amp;CHAR(9)&amp;"&lt;/"&amp;BW7&amp;"&gt;")</f>
        <v/>
      </c>
      <c r="K7" s="3" t="str">
        <f>IF(ISBLANK(CC7),"",CHAR(13)&amp;CHAR(9)&amp;CHAR(9)&amp;"&lt;"&amp;CD7&amp;"&gt;"&amp;CHAR(13)&amp;CHAR(9)&amp;CHAR(9)&amp;CHAR(9)&amp;"&lt;name&gt;"&amp;CC7&amp;"&lt;/name&gt;"&amp;CHAR(13)&amp;CHAR(9)&amp;CHAR(9)&amp;CHAR(9)&amp;"&lt;text&gt;"&amp;CE7&amp;"&lt;/text&gt;"&amp;IF(ISBLANK(CG7),"",CHAR(13)&amp;CHAR(9)&amp;CHAR(9)&amp;CHAR(9)&amp;"&lt;attack&gt;"&amp;CG7&amp;"|"&amp;CH7&amp;"|"&amp;CI7&amp;"&lt;/attack&gt;")&amp;CHAR(13)&amp;CHAR(9)&amp;CHAR(9)&amp;"&lt;/"&amp;CD7&amp;"&gt;")</f>
        <v/>
      </c>
      <c r="L7" s="1" t="s">
        <v>34</v>
      </c>
      <c r="M7" s="1" t="s">
        <v>275</v>
      </c>
      <c r="N7" s="1">
        <f>DruidAlignment</f>
        <v>0</v>
      </c>
      <c r="O7" s="2" t="s">
        <v>208</v>
      </c>
      <c r="P7" s="1" t="s">
        <v>2</v>
      </c>
      <c r="Q7" s="1">
        <v>11</v>
      </c>
      <c r="R7" s="1"/>
      <c r="S7" s="1">
        <v>19</v>
      </c>
      <c r="T7" s="1">
        <v>50</v>
      </c>
      <c r="Y7" s="1">
        <v>14</v>
      </c>
      <c r="Z7" s="1">
        <v>12</v>
      </c>
      <c r="AA7" s="1">
        <v>12</v>
      </c>
      <c r="AB7" s="10">
        <f>DruidInt</f>
        <v>0</v>
      </c>
      <c r="AC7" s="10">
        <f>DruidWis</f>
        <v>0</v>
      </c>
      <c r="AD7" s="10">
        <f>DruidCha</f>
        <v>0</v>
      </c>
      <c r="AE7" s="12"/>
      <c r="AF7" s="12"/>
      <c r="AG7" s="12"/>
      <c r="AH7" s="12" t="s">
        <v>173</v>
      </c>
      <c r="AI7" s="12" t="str">
        <f>IF(ISBLANK(DruidAcrobatics),"",", Acrobatics +"&amp;DruidAcrobatics)&amp;IF(ISBLANK(DruidAnimalHandling),"",", Animal Handling +"&amp;DruidAnimalHandling)&amp;IF(ISBLANK(DruidArcana),"",", Arcana +"&amp;DruidArcana)&amp;IF(DruidAthletics+AE7=0,"",", Athletics +"&amp;MAX(DruidAthletics,AE7))&amp;IF(ISBLANK(DruidDeception),"",",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+"&amp;DruidNature)&amp;IF(DruidPerception+AF7=0,"",", Perception +"&amp;MAX(DruidPerception,AF7))&amp;IF(ISBLANK(DruidPerformance),"",", Performance +"&amp;DruidPerformance)&amp;IF(ISBLANK(DruidPersuasion),"",", Persuasion +"&amp;DruidPersuasion)&amp;IF(ISBLANK(DruidReligion),"",", Religion +"&amp;DruidReligion)&amp;IF(ISBLANK(DruidSleightofHand),"",", Sleight of Hand +"&amp;DruidSleightofHand)&amp;IF(DruidStealth+AG7=0,"",", Stealth +"&amp;MAX(DruidStealth,AG7))&amp;IF(ISBLANK(DruidSurvival),"",", Survival +"&amp;DruidSurvival)</f>
        <v/>
      </c>
      <c r="AJ7" s="1" t="e">
        <f>RIGHT(AI7,LEN(AI7)-2)</f>
        <v>#VALUE!</v>
      </c>
      <c r="AK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 s="1" t="s">
        <v>173</v>
      </c>
      <c r="AN7" s="3">
        <f>IF(DruidPerception+AF7=0,10+(ROUNDDOWN((AC7-10)/2,0)),10+MAX(DruidPerception,AF7))</f>
        <v>5</v>
      </c>
      <c r="AT7" s="3" t="s">
        <v>174</v>
      </c>
      <c r="AU7" s="3" t="s">
        <v>150</v>
      </c>
      <c r="AV7" s="3" t="s">
        <v>435</v>
      </c>
      <c r="AW7" s="3" t="s">
        <v>173</v>
      </c>
      <c r="AX7" s="3" t="s">
        <v>174</v>
      </c>
      <c r="AY7" s="3">
        <v>4</v>
      </c>
      <c r="AZ7" s="3" t="s">
        <v>175</v>
      </c>
      <c r="BD7" s="3" t="s">
        <v>173</v>
      </c>
      <c r="BG7" s="3"/>
      <c r="BK7" s="3" t="s">
        <v>173</v>
      </c>
      <c r="BN7" s="3"/>
      <c r="BR7" s="3" t="s">
        <v>173</v>
      </c>
      <c r="BY7" s="3" t="s">
        <v>173</v>
      </c>
      <c r="CJ7" s="6">
        <v>0.25</v>
      </c>
      <c r="CK7" s="6">
        <f>IF(CJ7&lt;0.26,2,IF(CJ7&lt;0.51,4,IF(CJ7&lt;1.1,8,99)))</f>
        <v>2</v>
      </c>
      <c r="CL7" s="3">
        <f>IF(M7="Elemental",10,IF(CJ7&lt;2,2,CJ7*3))</f>
        <v>2</v>
      </c>
      <c r="CM7" s="3">
        <f>IF(W7&gt;0,8,0)</f>
        <v>0</v>
      </c>
      <c r="CN7" s="3">
        <f>IF(X7&gt;0,4,0)</f>
        <v>0</v>
      </c>
    </row>
    <row r="8" spans="1:93">
      <c r="A8" s="3" t="str">
        <f>IF(DruidLevel&lt;B8,"",CHAR(9)&amp;"&lt;monster&gt;"&amp;CHAR(13)&amp;CHAR(9)&amp;CHAR(9)&amp;"&lt;name&gt;"&amp;L8&amp;" (Wild Shape)&lt;/name&gt;"&amp;CHAR(13)&amp;CHAR(9)&amp;CHAR(9)&amp;"&lt;size&gt;"&amp;LEFT(P8,1)&amp;"&lt;/size&gt;"&amp;CHAR(13)&amp;CHAR(9)&amp;CHAR(9)&amp;"&lt;type&gt;"&amp;M8&amp;"&lt;/type&gt;"&amp;CHAR(13)&amp;CHAR(9)&amp;CHAR(9)&amp;"&lt;alignment&gt;"&amp;N8&amp;"&lt;/alignment&gt;"&amp;CHAR(13)&amp;CHAR(9)&amp;CHAR(9)&amp;"&lt;ac&gt;"&amp;Q8&amp;IF(ISBLANK(R8),""," ("&amp;R8&amp;")")&amp;"&lt;/ac&gt;"&amp;CHAR(13)&amp;CHAR(9)&amp;CHAR(9)&amp;"&lt;hp&gt;"&amp;S8&amp;"&lt;/hp&gt;"&amp;CHAR(13)&amp;CHAR(9)&amp;CHAR(9)&amp;"&lt;speed&gt;"&amp;E8&amp;"&lt;/speed&gt;"&amp;CHAR(13)&amp;CHAR(9)&amp;CHAR(9)&amp;"&lt;str&gt;"&amp;Y8&amp;"&lt;/str&gt;&lt;dex&gt;"&amp;Z8&amp;"&lt;/dex&gt;&lt;con&gt;"&amp;AA8&amp;"&lt;/con&gt;&lt;int&gt;"&amp;AB8&amp;"&lt;/int&gt;&lt;wis&gt;"&amp;AC8&amp;"&lt;/wis&gt;&lt;cha&gt;"&amp;AD8&amp;"&lt;/cha&gt;"&amp;CHAR(13)&amp;CHAR(9)&amp;CHAR(9)&amp;"&lt;save&gt;"&amp;AK8&amp;"&lt;/save&gt;"&amp;CHAR(13)&amp;CHAR(9)&amp;CHAR(9)&amp;"&lt;skill&gt;"&amp;AJ8&amp;"&lt;/skill&gt;"&amp;CHAR(13)&amp;CHAR(9)&amp;CHAR(9)&amp;"&lt;vulnerable&gt;"&amp;AO8&amp;"&lt;/vulnerable&gt;"&amp;CHAR(13)&amp;CHAR(9)&amp;CHAR(9)&amp;"&lt;resist&gt;"&amp;AP8&amp;"&lt;/resist&gt;"&amp;CHAR(13)&amp;CHAR(9)&amp;CHAR(9)&amp;"&lt;immune&gt;"&amp;AQ8&amp;"&lt;/immune&gt;"&amp;CHAR(13)&amp;CHAR(9)&amp;CHAR(9)&amp;"&lt;conditionImmune&gt;"&amp;AR8&amp;"&lt;/conditionImmune&gt;"&amp;CHAR(13)&amp;CHAR(9)&amp;CHAR(9)&amp;"&lt;senses&gt;"&amp;AM8&amp;"&lt;/senses&gt;"&amp;CHAR(13)&amp;CHAR(9)&amp;CHAR(9)&amp;"&lt;passive&gt;"&amp;AN8&amp;"&lt;/passive&gt;"&amp;CHAR(13)&amp;CHAR(9)&amp;CHAR(9)&amp;"&lt;languages&gt;"&amp;AS8&amp;"&lt;/languages&gt;"&amp;CHAR(13)&amp;CHAR(9)&amp;CHAR(9)&amp;"&lt;cr&gt;"&amp;O8&amp;"&lt;/cr&gt;"&amp;F8&amp;G8&amp;H8&amp;I8&amp;J8&amp;K8&amp;IF(C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 s="3">
        <f>IF(COTM=TRUE,MAX(CL8,CM8,CN8),MAX(CK8,CM8,CN8))</f>
        <v>2</v>
      </c>
      <c r="C8" s="11" t="str">
        <f>IF(COTM=FALSE,"",IF(DruidLevel&gt;5,"Y",""))</f>
        <v/>
      </c>
      <c r="D8" s="3" t="s">
        <v>173</v>
      </c>
      <c r="E8" s="3" t="str">
        <f>T8&amp;" ft."&amp;IF(U8+V8+W8+X8=0,"",", ")&amp;IF(ISBLANK(U8),"","burrow "&amp;U8&amp;" ft."&amp;IF(V8+W8+X8=0,"",", "))&amp;IF(ISBLANK(V8),"","climb "&amp;V8&amp;" ft."&amp;IF(W8+X8=0,"",", "))&amp;IF(ISBLANK(W8),"","fly "&amp;W8&amp;" ft."&amp;IF(X8=0,"",", "))&amp;IF(ISBLANK(X8),"","swim "&amp;X8&amp;" ft.")</f>
        <v>30 ft., climb 30 ft.</v>
      </c>
      <c r="F8" s="3" t="str">
        <f>IF(ISBLANK(AT8),"",CHAR(13)&amp;CHAR(9)&amp;CHAR(9)&amp;"&lt;"&amp;AU8&amp;"&gt;"&amp;CHAR(13)&amp;CHAR(9)&amp;CHAR(9)&amp;CHAR(9)&amp;"&lt;name&gt;"&amp;AT8&amp;"&lt;/name&gt;"&amp;CHAR(13)&amp;CHAR(9)&amp;CHAR(9)&amp;CHAR(9)&amp;"&lt;text&gt;"&amp;AV8&amp;"&lt;/text&gt;"&amp;IF(ISBLANK(AX8),"",CHAR(13)&amp;CHAR(9)&amp;CHAR(9)&amp;CHAR(9)&amp;"&lt;attack&gt;"&amp;AX8&amp;"|"&amp;AY8&amp;"|"&amp;AZ8&amp;"&lt;/attack&gt;")&amp;CHAR(13)&amp;CHAR(9)&amp;CHAR(9)&amp;"&lt;/"&amp;AU8&amp;"&gt;")</f>
        <v>_x000D_		&lt;trait&gt;_x000D_			&lt;name&gt;Pack Tactics&lt;/name&gt;_x000D_			&lt;text&gt;The baboon has advantage on an attack roll against a creature if at least one of the baboon's allies is within 5 feet of the creature and the ally isn't incapacitated.&lt;/text&gt;_x000D_		&lt;/trait&gt;</v>
      </c>
      <c r="G8" s="3" t="str">
        <f>IF(ISBLANK(BA8),"",CHAR(13)&amp;CHAR(9)&amp;CHAR(9)&amp;"&lt;"&amp;BB8&amp;"&gt;"&amp;CHAR(13)&amp;CHAR(9)&amp;CHAR(9)&amp;CHAR(9)&amp;"&lt;name&gt;"&amp;BA8&amp;"&lt;/name&gt;"&amp;CHAR(13)&amp;CHAR(9)&amp;CHAR(9)&amp;CHAR(9)&amp;"&lt;text&gt;"&amp;BC8&amp;"&lt;/text&gt;"&amp;IF(ISBLANK(BE8),"",CHAR(13)&amp;CHAR(9)&amp;CHAR(9)&amp;CHAR(9)&amp;"&lt;attack&gt;"&amp;BE8&amp;"|"&amp;BF8&amp;"|"&amp;BG8&amp;"&lt;/attack&gt;")&amp;CHAR(13)&amp;CHAR(9)&amp;CHAR(9)&amp;"&lt;/"&amp;BB8&amp;"&gt;")</f>
        <v>_x000D_		&lt;action&gt;_x000D_			&lt;name&gt;Bite&lt;/name&gt;_x000D_			&lt;text&gt;Melee Weapon Attack: +1 to hit, reach 5 ft., one target. Hit: 1 (1d4 - 1) piercing damage.&lt;/text&gt;_x000D_			&lt;attack&gt;Bite|1|1d4-1&lt;/attack&gt;_x000D_		&lt;/action&gt;</v>
      </c>
      <c r="H8" s="3" t="str">
        <f>IF(ISBLANK(BH8),"",CHAR(13)&amp;CHAR(9)&amp;CHAR(9)&amp;"&lt;"&amp;BI8&amp;"&gt;"&amp;CHAR(13)&amp;CHAR(9)&amp;CHAR(9)&amp;CHAR(9)&amp;"&lt;name&gt;"&amp;BH8&amp;"&lt;/name&gt;"&amp;CHAR(13)&amp;CHAR(9)&amp;CHAR(9)&amp;CHAR(9)&amp;"&lt;text&gt;"&amp;BJ8&amp;"&lt;/text&gt;"&amp;IF(ISBLANK(BL8),"",CHAR(13)&amp;CHAR(9)&amp;CHAR(9)&amp;CHAR(9)&amp;"&lt;attack&gt;"&amp;BL8&amp;"|"&amp;BM8&amp;"|"&amp;BN8&amp;"&lt;/attack&gt;")&amp;CHAR(13)&amp;CHAR(9)&amp;CHAR(9)&amp;"&lt;/"&amp;BI8&amp;"&gt;")</f>
        <v/>
      </c>
      <c r="I8" s="3" t="str">
        <f>IF(ISBLANK(BO8),"",CHAR(13)&amp;CHAR(9)&amp;CHAR(9)&amp;"&lt;"&amp;BP8&amp;"&gt;"&amp;CHAR(13)&amp;CHAR(9)&amp;CHAR(9)&amp;CHAR(9)&amp;"&lt;name&gt;"&amp;BO8&amp;"&lt;/name&gt;"&amp;CHAR(13)&amp;CHAR(9)&amp;CHAR(9)&amp;CHAR(9)&amp;"&lt;text&gt;"&amp;BQ8&amp;"&lt;/text&gt;"&amp;IF(ISBLANK(BS8),"",CHAR(13)&amp;CHAR(9)&amp;CHAR(9)&amp;CHAR(9)&amp;"&lt;attack&gt;"&amp;BS8&amp;"|"&amp;BT8&amp;"|"&amp;BU8&amp;"&lt;/attack&gt;")&amp;CHAR(13)&amp;CHAR(9)&amp;CHAR(9)&amp;"&lt;/"&amp;BP8&amp;"&gt;")</f>
        <v/>
      </c>
      <c r="J8" s="3" t="str">
        <f>IF(ISBLANK(BV8),"",CHAR(13)&amp;CHAR(9)&amp;CHAR(9)&amp;"&lt;"&amp;BW8&amp;"&gt;"&amp;CHAR(13)&amp;CHAR(9)&amp;CHAR(9)&amp;CHAR(9)&amp;"&lt;name&gt;"&amp;BV8&amp;"&lt;/name&gt;"&amp;CHAR(13)&amp;CHAR(9)&amp;CHAR(9)&amp;CHAR(9)&amp;"&lt;text&gt;"&amp;BX8&amp;"&lt;/text&gt;"&amp;IF(ISBLANK(BZ8),"",CHAR(13)&amp;CHAR(9)&amp;CHAR(9)&amp;CHAR(9)&amp;"&lt;attack&gt;"&amp;BZ8&amp;"|"&amp;CA8&amp;"|"&amp;CB8&amp;"&lt;/attack&gt;")&amp;CHAR(13)&amp;CHAR(9)&amp;CHAR(9)&amp;"&lt;/"&amp;BW8&amp;"&gt;")</f>
        <v/>
      </c>
      <c r="K8" s="3" t="str">
        <f>IF(ISBLANK(CC8),"",CHAR(13)&amp;CHAR(9)&amp;CHAR(9)&amp;"&lt;"&amp;CD8&amp;"&gt;"&amp;CHAR(13)&amp;CHAR(9)&amp;CHAR(9)&amp;CHAR(9)&amp;"&lt;name&gt;"&amp;CC8&amp;"&lt;/name&gt;"&amp;CHAR(13)&amp;CHAR(9)&amp;CHAR(9)&amp;CHAR(9)&amp;"&lt;text&gt;"&amp;CE8&amp;"&lt;/text&gt;"&amp;IF(ISBLANK(CG8),"",CHAR(13)&amp;CHAR(9)&amp;CHAR(9)&amp;CHAR(9)&amp;"&lt;attack&gt;"&amp;CG8&amp;"|"&amp;CH8&amp;"|"&amp;CI8&amp;"&lt;/attack&gt;")&amp;CHAR(13)&amp;CHAR(9)&amp;CHAR(9)&amp;"&lt;/"&amp;CD8&amp;"&gt;")</f>
        <v/>
      </c>
      <c r="L8" s="1" t="s">
        <v>10</v>
      </c>
      <c r="M8" s="1" t="s">
        <v>275</v>
      </c>
      <c r="N8" s="1">
        <f>DruidAlignment</f>
        <v>0</v>
      </c>
      <c r="O8" s="2">
        <v>0</v>
      </c>
      <c r="P8" s="1" t="s">
        <v>11</v>
      </c>
      <c r="Q8" s="1">
        <v>12</v>
      </c>
      <c r="R8" s="1"/>
      <c r="S8" s="1">
        <v>3</v>
      </c>
      <c r="T8" s="1">
        <v>30</v>
      </c>
      <c r="V8" s="1">
        <v>30</v>
      </c>
      <c r="Y8" s="1">
        <v>8</v>
      </c>
      <c r="Z8" s="1">
        <v>14</v>
      </c>
      <c r="AA8" s="1">
        <v>11</v>
      </c>
      <c r="AB8" s="10">
        <f>DruidInt</f>
        <v>0</v>
      </c>
      <c r="AC8" s="10">
        <f>DruidWis</f>
        <v>0</v>
      </c>
      <c r="AD8" s="10">
        <f>DruidCha</f>
        <v>0</v>
      </c>
      <c r="AE8" s="12"/>
      <c r="AF8" s="12">
        <v>3</v>
      </c>
      <c r="AG8" s="12"/>
      <c r="AH8" s="12" t="s">
        <v>173</v>
      </c>
      <c r="AI8" s="12" t="str">
        <f>IF(ISBLANK(DruidAcrobatics),"",", Acrobatics +"&amp;DruidAcrobatics)&amp;IF(ISBLANK(DruidAnimalHandling),"",", Animal Handling +"&amp;DruidAnimalHandling)&amp;IF(ISBLANK(DruidArcana),"",", Arcana +"&amp;DruidArcana)&amp;IF(DruidAthletics+AE8=0,"",", Athletics +"&amp;MAX(DruidAthletics,AE8))&amp;IF(ISBLANK(DruidDeception),"",",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+"&amp;DruidNature)&amp;IF(DruidPerception+AF8=0,"",", Perception +"&amp;MAX(DruidPerception,AF8))&amp;IF(ISBLANK(DruidPerformance),"",", Performance +"&amp;DruidPerformance)&amp;IF(ISBLANK(DruidPersuasion),"",", Persuasion +"&amp;DruidPersuasion)&amp;IF(ISBLANK(DruidReligion),"",", Religion +"&amp;DruidReligion)&amp;IF(ISBLANK(DruidSleightofHand),"",", Sleight of Hand +"&amp;DruidSleightofHand)&amp;IF(DruidStealth+AG8=0,"",", Stealth +"&amp;MAX(DruidStealth,AG8))&amp;IF(ISBLANK(DruidSurvival),"",", Survival +"&amp;DruidSurvival)</f>
        <v>, Perception +3</v>
      </c>
      <c r="AJ8" s="1" t="str">
        <f>RIGHT(AI8,LEN(AI8)-2)</f>
        <v>Perception +3</v>
      </c>
      <c r="AK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 s="1" t="s">
        <v>173</v>
      </c>
      <c r="AN8" s="3">
        <f>IF(DruidPerception+AF8=0,10+(ROUNDDOWN((AC8-10)/2,0)),10+MAX(DruidPerception,AF8))</f>
        <v>13</v>
      </c>
      <c r="AT8" s="3" t="s">
        <v>12</v>
      </c>
      <c r="AU8" s="3" t="s">
        <v>148</v>
      </c>
      <c r="AV8" s="3" t="s">
        <v>492</v>
      </c>
      <c r="AW8" s="3" t="s">
        <v>173</v>
      </c>
      <c r="AZ8" s="3"/>
      <c r="BA8" s="3" t="s">
        <v>161</v>
      </c>
      <c r="BB8" s="3" t="s">
        <v>150</v>
      </c>
      <c r="BC8" s="3" t="s">
        <v>508</v>
      </c>
      <c r="BD8" s="3" t="s">
        <v>173</v>
      </c>
      <c r="BE8" s="3" t="s">
        <v>161</v>
      </c>
      <c r="BF8" s="3">
        <v>1</v>
      </c>
      <c r="BG8" s="3" t="s">
        <v>210</v>
      </c>
      <c r="BK8" s="3" t="s">
        <v>173</v>
      </c>
      <c r="BN8" s="3"/>
      <c r="BR8" s="3" t="s">
        <v>173</v>
      </c>
      <c r="BY8" s="3" t="s">
        <v>173</v>
      </c>
      <c r="CJ8" s="6">
        <v>0</v>
      </c>
      <c r="CK8" s="6">
        <f>IF(CJ8&lt;0.26,2,IF(CJ8&lt;0.51,4,IF(CJ8&lt;1.1,8,99)))</f>
        <v>2</v>
      </c>
      <c r="CL8" s="3">
        <f>IF(M8="Elemental",10,IF(CJ8&lt;2,2,CJ8*3))</f>
        <v>2</v>
      </c>
      <c r="CM8" s="3">
        <f>IF(W8&gt;0,8,0)</f>
        <v>0</v>
      </c>
      <c r="CN8" s="3">
        <f>IF(X8&gt;0,4,0)</f>
        <v>0</v>
      </c>
    </row>
    <row r="9" spans="1:93">
      <c r="A9" s="3" t="str">
        <f>IF(DruidLevel&lt;B9,"",CHAR(9)&amp;"&lt;monster&gt;"&amp;CHAR(13)&amp;CHAR(9)&amp;CHAR(9)&amp;"&lt;name&gt;"&amp;L9&amp;" (Wild Shape)&lt;/name&gt;"&amp;CHAR(13)&amp;CHAR(9)&amp;CHAR(9)&amp;"&lt;size&gt;"&amp;LEFT(P9,1)&amp;"&lt;/size&gt;"&amp;CHAR(13)&amp;CHAR(9)&amp;CHAR(9)&amp;"&lt;type&gt;"&amp;M9&amp;"&lt;/type&gt;"&amp;CHAR(13)&amp;CHAR(9)&amp;CHAR(9)&amp;"&lt;alignment&gt;"&amp;N9&amp;"&lt;/alignment&gt;"&amp;CHAR(13)&amp;CHAR(9)&amp;CHAR(9)&amp;"&lt;ac&gt;"&amp;Q9&amp;IF(ISBLANK(R9),""," ("&amp;R9&amp;")")&amp;"&lt;/ac&gt;"&amp;CHAR(13)&amp;CHAR(9)&amp;CHAR(9)&amp;"&lt;hp&gt;"&amp;S9&amp;"&lt;/hp&gt;"&amp;CHAR(13)&amp;CHAR(9)&amp;CHAR(9)&amp;"&lt;speed&gt;"&amp;E9&amp;"&lt;/speed&gt;"&amp;CHAR(13)&amp;CHAR(9)&amp;CHAR(9)&amp;"&lt;str&gt;"&amp;Y9&amp;"&lt;/str&gt;&lt;dex&gt;"&amp;Z9&amp;"&lt;/dex&gt;&lt;con&gt;"&amp;AA9&amp;"&lt;/con&gt;&lt;int&gt;"&amp;AB9&amp;"&lt;/int&gt;&lt;wis&gt;"&amp;AC9&amp;"&lt;/wis&gt;&lt;cha&gt;"&amp;AD9&amp;"&lt;/cha&gt;"&amp;CHAR(13)&amp;CHAR(9)&amp;CHAR(9)&amp;"&lt;save&gt;"&amp;AK9&amp;"&lt;/save&gt;"&amp;CHAR(13)&amp;CHAR(9)&amp;CHAR(9)&amp;"&lt;skill&gt;"&amp;AJ9&amp;"&lt;/skill&gt;"&amp;CHAR(13)&amp;CHAR(9)&amp;CHAR(9)&amp;"&lt;vulnerable&gt;"&amp;AO9&amp;"&lt;/vulnerable&gt;"&amp;CHAR(13)&amp;CHAR(9)&amp;CHAR(9)&amp;"&lt;resist&gt;"&amp;AP9&amp;"&lt;/resist&gt;"&amp;CHAR(13)&amp;CHAR(9)&amp;CHAR(9)&amp;"&lt;immune&gt;"&amp;AQ9&amp;"&lt;/immune&gt;"&amp;CHAR(13)&amp;CHAR(9)&amp;CHAR(9)&amp;"&lt;conditionImmune&gt;"&amp;AR9&amp;"&lt;/conditionImmune&gt;"&amp;CHAR(13)&amp;CHAR(9)&amp;CHAR(9)&amp;"&lt;senses&gt;"&amp;AM9&amp;"&lt;/senses&gt;"&amp;CHAR(13)&amp;CHAR(9)&amp;CHAR(9)&amp;"&lt;passive&gt;"&amp;AN9&amp;"&lt;/passive&gt;"&amp;CHAR(13)&amp;CHAR(9)&amp;CHAR(9)&amp;"&lt;languages&gt;"&amp;AS9&amp;"&lt;/languages&gt;"&amp;CHAR(13)&amp;CHAR(9)&amp;CHAR(9)&amp;"&lt;cr&gt;"&amp;O9&amp;"&lt;/cr&gt;"&amp;F9&amp;G9&amp;H9&amp;I9&amp;J9&amp;K9&amp;IF(C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 s="3">
        <f>IF(COTM=TRUE,MAX(CL9,CM9,CN9),MAX(CK9,CM9,CN9))</f>
        <v>2</v>
      </c>
      <c r="C9" s="11" t="str">
        <f>IF(COTM=FALSE,"",IF(DruidLevel&gt;5,"Y",""))</f>
        <v/>
      </c>
      <c r="D9" s="3" t="s">
        <v>173</v>
      </c>
      <c r="E9" s="3" t="str">
        <f>T9&amp;" ft."&amp;IF(U9+V9+W9+X9=0,"",", ")&amp;IF(ISBLANK(U9),"","burrow "&amp;U9&amp;" ft."&amp;IF(V9+W9+X9=0,"",", "))&amp;IF(ISBLANK(V9),"","climb "&amp;V9&amp;" ft."&amp;IF(W9+X9=0,"",", "))&amp;IF(ISBLANK(W9),"","fly "&amp;W9&amp;" ft."&amp;IF(X9=0,"",", "))&amp;IF(ISBLANK(X9),"","swim "&amp;X9&amp;" ft.")</f>
        <v>20 ft., burrow 5 ft.</v>
      </c>
      <c r="F9" s="3" t="str">
        <f>IF(ISBLANK(AT9),"",CHAR(13)&amp;CHAR(9)&amp;CHAR(9)&amp;"&lt;"&amp;AU9&amp;"&gt;"&amp;CHAR(13)&amp;CHAR(9)&amp;CHAR(9)&amp;CHAR(9)&amp;"&lt;name&gt;"&amp;AT9&amp;"&lt;/name&gt;"&amp;CHAR(13)&amp;CHAR(9)&amp;CHAR(9)&amp;CHAR(9)&amp;"&lt;text&gt;"&amp;AV9&amp;"&lt;/text&gt;"&amp;IF(ISBLANK(AX9),"",CHAR(13)&amp;CHAR(9)&amp;CHAR(9)&amp;CHAR(9)&amp;"&lt;attack&gt;"&amp;AX9&amp;"|"&amp;AY9&amp;"|"&amp;AZ9&amp;"&lt;/attack&gt;")&amp;CHAR(13)&amp;CHAR(9)&amp;CHAR(9)&amp;"&lt;/"&amp;AU9&amp;"&gt;")</f>
        <v>_x000D_		&lt;trait&gt;_x000D_			&lt;name&gt;Keen Smell&lt;/name&gt;_x000D_			&lt;text&gt;The badger has advantage on Wisdom (Perception) checks that rely on smell.&lt;/text&gt;_x000D_		&lt;/trait&gt;</v>
      </c>
      <c r="G9" s="3" t="str">
        <f>IF(ISBLANK(BA9),"",CHAR(13)&amp;CHAR(9)&amp;CHAR(9)&amp;"&lt;"&amp;BB9&amp;"&gt;"&amp;CHAR(13)&amp;CHAR(9)&amp;CHAR(9)&amp;CHAR(9)&amp;"&lt;name&gt;"&amp;BA9&amp;"&lt;/name&gt;"&amp;CHAR(13)&amp;CHAR(9)&amp;CHAR(9)&amp;CHAR(9)&amp;"&lt;text&gt;"&amp;BC9&amp;"&lt;/text&gt;"&amp;IF(ISBLANK(BE9),"",CHAR(13)&amp;CHAR(9)&amp;CHAR(9)&amp;CHAR(9)&amp;"&lt;attack&gt;"&amp;BE9&amp;"|"&amp;BF9&amp;"|"&amp;BG9&amp;"&lt;/attack&gt;")&amp;CHAR(13)&amp;CHAR(9)&amp;CHAR(9)&amp;"&lt;/"&amp;BB9&amp;"&gt;")</f>
        <v>_x000D_		&lt;action&gt;_x000D_			&lt;name&gt;Bite&lt;/name&gt;_x000D_			&lt;text&gt;Melee Weapon Attack: +2 to hit, reach 5 ft., one target. Hit: 1 piercing damage.&lt;/text&gt;_x000D_			&lt;attack&gt;Bite|2|1&lt;/attack&gt;_x000D_		&lt;/action&gt;</v>
      </c>
      <c r="H9" s="3" t="str">
        <f>IF(ISBLANK(BH9),"",CHAR(13)&amp;CHAR(9)&amp;CHAR(9)&amp;"&lt;"&amp;BI9&amp;"&gt;"&amp;CHAR(13)&amp;CHAR(9)&amp;CHAR(9)&amp;CHAR(9)&amp;"&lt;name&gt;"&amp;BH9&amp;"&lt;/name&gt;"&amp;CHAR(13)&amp;CHAR(9)&amp;CHAR(9)&amp;CHAR(9)&amp;"&lt;text&gt;"&amp;BJ9&amp;"&lt;/text&gt;"&amp;IF(ISBLANK(BL9),"",CHAR(13)&amp;CHAR(9)&amp;CHAR(9)&amp;CHAR(9)&amp;"&lt;attack&gt;"&amp;BL9&amp;"|"&amp;BM9&amp;"|"&amp;BN9&amp;"&lt;/attack&gt;")&amp;CHAR(13)&amp;CHAR(9)&amp;CHAR(9)&amp;"&lt;/"&amp;BI9&amp;"&gt;")</f>
        <v/>
      </c>
      <c r="I9" s="3" t="str">
        <f>IF(ISBLANK(BO9),"",CHAR(13)&amp;CHAR(9)&amp;CHAR(9)&amp;"&lt;"&amp;BP9&amp;"&gt;"&amp;CHAR(13)&amp;CHAR(9)&amp;CHAR(9)&amp;CHAR(9)&amp;"&lt;name&gt;"&amp;BO9&amp;"&lt;/name&gt;"&amp;CHAR(13)&amp;CHAR(9)&amp;CHAR(9)&amp;CHAR(9)&amp;"&lt;text&gt;"&amp;BQ9&amp;"&lt;/text&gt;"&amp;IF(ISBLANK(BS9),"",CHAR(13)&amp;CHAR(9)&amp;CHAR(9)&amp;CHAR(9)&amp;"&lt;attack&gt;"&amp;BS9&amp;"|"&amp;BT9&amp;"|"&amp;BU9&amp;"&lt;/attack&gt;")&amp;CHAR(13)&amp;CHAR(9)&amp;CHAR(9)&amp;"&lt;/"&amp;BP9&amp;"&gt;")</f>
        <v/>
      </c>
      <c r="J9" s="3" t="str">
        <f>IF(ISBLANK(BV9),"",CHAR(13)&amp;CHAR(9)&amp;CHAR(9)&amp;"&lt;"&amp;BW9&amp;"&gt;"&amp;CHAR(13)&amp;CHAR(9)&amp;CHAR(9)&amp;CHAR(9)&amp;"&lt;name&gt;"&amp;BV9&amp;"&lt;/name&gt;"&amp;CHAR(13)&amp;CHAR(9)&amp;CHAR(9)&amp;CHAR(9)&amp;"&lt;text&gt;"&amp;BX9&amp;"&lt;/text&gt;"&amp;IF(ISBLANK(BZ9),"",CHAR(13)&amp;CHAR(9)&amp;CHAR(9)&amp;CHAR(9)&amp;"&lt;attack&gt;"&amp;BZ9&amp;"|"&amp;CA9&amp;"|"&amp;CB9&amp;"&lt;/attack&gt;")&amp;CHAR(13)&amp;CHAR(9)&amp;CHAR(9)&amp;"&lt;/"&amp;BW9&amp;"&gt;")</f>
        <v/>
      </c>
      <c r="K9" s="3" t="str">
        <f>IF(ISBLANK(CC9),"",CHAR(13)&amp;CHAR(9)&amp;CHAR(9)&amp;"&lt;"&amp;CD9&amp;"&gt;"&amp;CHAR(13)&amp;CHAR(9)&amp;CHAR(9)&amp;CHAR(9)&amp;"&lt;name&gt;"&amp;CC9&amp;"&lt;/name&gt;"&amp;CHAR(13)&amp;CHAR(9)&amp;CHAR(9)&amp;CHAR(9)&amp;"&lt;text&gt;"&amp;CE9&amp;"&lt;/text&gt;"&amp;IF(ISBLANK(CG9),"",CHAR(13)&amp;CHAR(9)&amp;CHAR(9)&amp;CHAR(9)&amp;"&lt;attack&gt;"&amp;CG9&amp;"|"&amp;CH9&amp;"|"&amp;CI9&amp;"&lt;/attack&gt;")&amp;CHAR(13)&amp;CHAR(9)&amp;CHAR(9)&amp;"&lt;/"&amp;CD9&amp;"&gt;")</f>
        <v/>
      </c>
      <c r="L9" s="1" t="s">
        <v>13</v>
      </c>
      <c r="M9" s="1" t="s">
        <v>275</v>
      </c>
      <c r="N9" s="1">
        <f>DruidAlignment</f>
        <v>0</v>
      </c>
      <c r="O9" s="2">
        <v>0</v>
      </c>
      <c r="P9" s="1" t="s">
        <v>0</v>
      </c>
      <c r="Q9" s="1">
        <v>10</v>
      </c>
      <c r="R9" s="1"/>
      <c r="S9" s="1">
        <v>3</v>
      </c>
      <c r="T9" s="1">
        <v>20</v>
      </c>
      <c r="U9" s="1">
        <v>5</v>
      </c>
      <c r="Y9" s="1">
        <v>4</v>
      </c>
      <c r="Z9" s="1">
        <v>11</v>
      </c>
      <c r="AA9" s="1">
        <v>12</v>
      </c>
      <c r="AB9" s="10">
        <f>DruidInt</f>
        <v>0</v>
      </c>
      <c r="AC9" s="10">
        <f>DruidWis</f>
        <v>0</v>
      </c>
      <c r="AD9" s="10">
        <f>DruidCha</f>
        <v>0</v>
      </c>
      <c r="AE9" s="12"/>
      <c r="AF9" s="12"/>
      <c r="AG9" s="12"/>
      <c r="AH9" s="12" t="s">
        <v>173</v>
      </c>
      <c r="AI9" s="12" t="str">
        <f>IF(ISBLANK(DruidAcrobatics),"",", Acrobatics +"&amp;DruidAcrobatics)&amp;IF(ISBLANK(DruidAnimalHandling),"",", Animal Handling +"&amp;DruidAnimalHandling)&amp;IF(ISBLANK(DruidArcana),"",", Arcana +"&amp;DruidArcana)&amp;IF(DruidAthletics+AE9=0,"",", Athletics +"&amp;MAX(DruidAthletics,AE9))&amp;IF(ISBLANK(DruidDeception),"",",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+"&amp;DruidNature)&amp;IF(DruidPerception+AF9=0,"",", Perception +"&amp;MAX(DruidPerception,AF9))&amp;IF(ISBLANK(DruidPerformance),"",", Performance +"&amp;DruidPerformance)&amp;IF(ISBLANK(DruidPersuasion),"",", Persuasion +"&amp;DruidPersuasion)&amp;IF(ISBLANK(DruidReligion),"",", Religion +"&amp;DruidReligion)&amp;IF(ISBLANK(DruidSleightofHand),"",", Sleight of Hand +"&amp;DruidSleightofHand)&amp;IF(DruidStealth+AG9=0,"",", Stealth +"&amp;MAX(DruidStealth,AG9))&amp;IF(ISBLANK(DruidSurvival),"",", Survival +"&amp;DruidSurvival)</f>
        <v/>
      </c>
      <c r="AJ9" s="1" t="e">
        <f>RIGHT(AI9,LEN(AI9)-2)</f>
        <v>#VALUE!</v>
      </c>
      <c r="AK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 s="1" t="s">
        <v>173</v>
      </c>
      <c r="AM9" s="1" t="s">
        <v>178</v>
      </c>
      <c r="AN9" s="3">
        <f>IF(DruidPerception+AF9=0,10+(ROUNDDOWN((AC9-10)/2,0)),10+MAX(DruidPerception,AF9))</f>
        <v>5</v>
      </c>
      <c r="AO9" s="1"/>
      <c r="AP9" s="1"/>
      <c r="AQ9" s="1"/>
      <c r="AR9" s="1"/>
      <c r="AS9" s="1"/>
      <c r="AT9" s="3" t="s">
        <v>14</v>
      </c>
      <c r="AU9" s="3" t="s">
        <v>148</v>
      </c>
      <c r="AV9" s="3" t="s">
        <v>211</v>
      </c>
      <c r="AW9" s="3" t="s">
        <v>173</v>
      </c>
      <c r="AZ9" s="3"/>
      <c r="BA9" s="3" t="s">
        <v>161</v>
      </c>
      <c r="BB9" s="3" t="s">
        <v>150</v>
      </c>
      <c r="BC9" s="3" t="s">
        <v>212</v>
      </c>
      <c r="BD9" s="3" t="s">
        <v>173</v>
      </c>
      <c r="BE9" s="3" t="s">
        <v>161</v>
      </c>
      <c r="BF9" s="3">
        <v>2</v>
      </c>
      <c r="BG9" s="3">
        <v>1</v>
      </c>
      <c r="BK9" s="3" t="s">
        <v>173</v>
      </c>
      <c r="BN9" s="3"/>
      <c r="BR9" s="3" t="s">
        <v>173</v>
      </c>
      <c r="BY9" s="3" t="s">
        <v>173</v>
      </c>
      <c r="CJ9" s="6">
        <v>0</v>
      </c>
      <c r="CK9" s="6">
        <f>IF(CJ9&lt;0.26,2,IF(CJ9&lt;0.51,4,IF(CJ9&lt;1.1,8,99)))</f>
        <v>2</v>
      </c>
      <c r="CL9" s="3">
        <f>IF(M9="Elemental",10,IF(CJ9&lt;2,2,CJ9*3))</f>
        <v>2</v>
      </c>
      <c r="CM9" s="3">
        <f>IF(W9&gt;0,8,0)</f>
        <v>0</v>
      </c>
      <c r="CN9" s="3">
        <f>IF(X9&gt;0,4,0)</f>
        <v>0</v>
      </c>
    </row>
    <row r="10" spans="1:93">
      <c r="A10" s="3" t="str">
        <f>IF(DruidLevel&lt;B10,"",CHAR(9)&amp;"&lt;monster&gt;"&amp;CHAR(13)&amp;CHAR(9)&amp;CHAR(9)&amp;"&lt;name&gt;"&amp;L10&amp;" (Wild Shape)&lt;/name&gt;"&amp;CHAR(13)&amp;CHAR(9)&amp;CHAR(9)&amp;"&lt;size&gt;"&amp;LEFT(P10,1)&amp;"&lt;/size&gt;"&amp;CHAR(13)&amp;CHAR(9)&amp;CHAR(9)&amp;"&lt;type&gt;"&amp;M10&amp;"&lt;/type&gt;"&amp;CHAR(13)&amp;CHAR(9)&amp;CHAR(9)&amp;"&lt;alignment&gt;"&amp;N10&amp;"&lt;/alignment&gt;"&amp;CHAR(13)&amp;CHAR(9)&amp;CHAR(9)&amp;"&lt;ac&gt;"&amp;Q10&amp;IF(ISBLANK(R10),""," ("&amp;R10&amp;")")&amp;"&lt;/ac&gt;"&amp;CHAR(13)&amp;CHAR(9)&amp;CHAR(9)&amp;"&lt;hp&gt;"&amp;S10&amp;"&lt;/hp&gt;"&amp;CHAR(13)&amp;CHAR(9)&amp;CHAR(9)&amp;"&lt;speed&gt;"&amp;E10&amp;"&lt;/speed&gt;"&amp;CHAR(13)&amp;CHAR(9)&amp;CHAR(9)&amp;"&lt;str&gt;"&amp;Y10&amp;"&lt;/str&gt;&lt;dex&gt;"&amp;Z10&amp;"&lt;/dex&gt;&lt;con&gt;"&amp;AA10&amp;"&lt;/con&gt;&lt;int&gt;"&amp;AB10&amp;"&lt;/int&gt;&lt;wis&gt;"&amp;AC10&amp;"&lt;/wis&gt;&lt;cha&gt;"&amp;AD10&amp;"&lt;/cha&gt;"&amp;CHAR(13)&amp;CHAR(9)&amp;CHAR(9)&amp;"&lt;save&gt;"&amp;AK10&amp;"&lt;/save&gt;"&amp;CHAR(13)&amp;CHAR(9)&amp;CHAR(9)&amp;"&lt;skill&gt;"&amp;AJ10&amp;"&lt;/skill&gt;"&amp;CHAR(13)&amp;CHAR(9)&amp;CHAR(9)&amp;"&lt;vulnerable&gt;"&amp;AO10&amp;"&lt;/vulnerable&gt;"&amp;CHAR(13)&amp;CHAR(9)&amp;CHAR(9)&amp;"&lt;resist&gt;"&amp;AP10&amp;"&lt;/resist&gt;"&amp;CHAR(13)&amp;CHAR(9)&amp;CHAR(9)&amp;"&lt;immune&gt;"&amp;AQ10&amp;"&lt;/immune&gt;"&amp;CHAR(13)&amp;CHAR(9)&amp;CHAR(9)&amp;"&lt;conditionImmune&gt;"&amp;AR10&amp;"&lt;/conditionImmune&gt;"&amp;CHAR(13)&amp;CHAR(9)&amp;CHAR(9)&amp;"&lt;senses&gt;"&amp;AM10&amp;"&lt;/senses&gt;"&amp;CHAR(13)&amp;CHAR(9)&amp;CHAR(9)&amp;"&lt;passive&gt;"&amp;AN10&amp;"&lt;/passive&gt;"&amp;CHAR(13)&amp;CHAR(9)&amp;CHAR(9)&amp;"&lt;languages&gt;"&amp;AS10&amp;"&lt;/languages&gt;"&amp;CHAR(13)&amp;CHAR(9)&amp;CHAR(9)&amp;"&lt;cr&gt;"&amp;O10&amp;"&lt;/cr&gt;"&amp;F10&amp;G10&amp;H10&amp;I10&amp;J10&amp;K10&amp;IF(C10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0" s="3">
        <f>IF(COTM=TRUE,MAX(CL10,CM10,CN10),MAX(CK10,CM10,CN10))</f>
        <v>8</v>
      </c>
      <c r="C10" s="11" t="str">
        <f>IF(COTM=FALSE,"",IF(DruidLevel&gt;5,"Y",""))</f>
        <v/>
      </c>
      <c r="D10" s="3" t="s">
        <v>173</v>
      </c>
      <c r="E10" s="3" t="str">
        <f>T10&amp;" ft."&amp;IF(U10+V10+W10+X10=0,"",", ")&amp;IF(ISBLANK(U10),"","burrow "&amp;U10&amp;" ft."&amp;IF(V10+W10+X10=0,"",", "))&amp;IF(ISBLANK(V10),"","climb "&amp;V10&amp;" ft."&amp;IF(W10+X10=0,"",", "))&amp;IF(ISBLANK(W10),"","fly "&amp;W10&amp;" ft."&amp;IF(X10=0,"",", "))&amp;IF(ISBLANK(X10),"","swim "&amp;X10&amp;" ft.")</f>
        <v>5 ft., fly 30 ft.</v>
      </c>
      <c r="F10" s="3" t="str">
        <f>IF(ISBLANK(AT10),"",CHAR(13)&amp;CHAR(9)&amp;CHAR(9)&amp;"&lt;"&amp;AU10&amp;"&gt;"&amp;CHAR(13)&amp;CHAR(9)&amp;CHAR(9)&amp;CHAR(9)&amp;"&lt;name&gt;"&amp;AT10&amp;"&lt;/name&gt;"&amp;CHAR(13)&amp;CHAR(9)&amp;CHAR(9)&amp;CHAR(9)&amp;"&lt;text&gt;"&amp;AV10&amp;"&lt;/text&gt;"&amp;IF(ISBLANK(AX10),"",CHAR(13)&amp;CHAR(9)&amp;CHAR(9)&amp;CHAR(9)&amp;"&lt;attack&gt;"&amp;AX10&amp;"|"&amp;AY10&amp;"|"&amp;AZ10&amp;"&lt;/attack&gt;")&amp;CHAR(13)&amp;CHAR(9)&amp;CHAR(9)&amp;"&lt;/"&amp;AU10&amp;"&gt;")</f>
        <v>_x000D_		&lt;trait&gt;_x000D_			&lt;name&gt;Echolocation&lt;/name&gt;_x000D_			&lt;text&gt;The bat can't use its blindsight while deafened.&lt;/text&gt;_x000D_		&lt;/trait&gt;</v>
      </c>
      <c r="G10" s="3" t="str">
        <f>IF(ISBLANK(BA10),"",CHAR(13)&amp;CHAR(9)&amp;CHAR(9)&amp;"&lt;"&amp;BB10&amp;"&gt;"&amp;CHAR(13)&amp;CHAR(9)&amp;CHAR(9)&amp;CHAR(9)&amp;"&lt;name&gt;"&amp;BA10&amp;"&lt;/name&gt;"&amp;CHAR(13)&amp;CHAR(9)&amp;CHAR(9)&amp;CHAR(9)&amp;"&lt;text&gt;"&amp;BC10&amp;"&lt;/text&gt;"&amp;IF(ISBLANK(BE10),"",CHAR(13)&amp;CHAR(9)&amp;CHAR(9)&amp;CHAR(9)&amp;"&lt;attack&gt;"&amp;BE10&amp;"|"&amp;BF10&amp;"|"&amp;BG10&amp;"&lt;/attack&gt;")&amp;CHAR(13)&amp;CHAR(9)&amp;CHAR(9)&amp;"&lt;/"&amp;BB10&amp;"&gt;")</f>
        <v>_x000D_		&lt;trait&gt;_x000D_			&lt;name&gt;Keen Hearing&lt;/name&gt;_x000D_			&lt;text&gt;The bat has advantage on Wisdom (Perception) checks that rely on hearing.&lt;/text&gt;_x000D_		&lt;/trait&gt;</v>
      </c>
      <c r="H10" s="3" t="str">
        <f>IF(ISBLANK(BH10),"",CHAR(13)&amp;CHAR(9)&amp;CHAR(9)&amp;"&lt;"&amp;BI10&amp;"&gt;"&amp;CHAR(13)&amp;CHAR(9)&amp;CHAR(9)&amp;CHAR(9)&amp;"&lt;name&gt;"&amp;BH10&amp;"&lt;/name&gt;"&amp;CHAR(13)&amp;CHAR(9)&amp;CHAR(9)&amp;CHAR(9)&amp;"&lt;text&gt;"&amp;BJ10&amp;"&lt;/text&gt;"&amp;IF(ISBLANK(BL10),"",CHAR(13)&amp;CHAR(9)&amp;CHAR(9)&amp;CHAR(9)&amp;"&lt;attack&gt;"&amp;BL10&amp;"|"&amp;BM10&amp;"|"&amp;BN10&amp;"&lt;/attack&gt;")&amp;CHAR(13)&amp;CHAR(9)&amp;CHAR(9)&amp;"&lt;/"&amp;BI10&amp;"&gt;")</f>
        <v>_x000D_		&lt;action&gt;_x000D_			&lt;name&gt;Bite&lt;/name&gt;_x000D_			&lt;text&gt;Melee Weapon Attack: +0 to hit, reach 5 ft., one creature. Hit: 1 piercing damage.&lt;/text&gt;_x000D_			&lt;attack&gt;Bite|0|1&lt;/attack&gt;_x000D_		&lt;/action&gt;</v>
      </c>
      <c r="I10" s="3" t="str">
        <f>IF(ISBLANK(BO10),"",CHAR(13)&amp;CHAR(9)&amp;CHAR(9)&amp;"&lt;"&amp;BP10&amp;"&gt;"&amp;CHAR(13)&amp;CHAR(9)&amp;CHAR(9)&amp;CHAR(9)&amp;"&lt;name&gt;"&amp;BO10&amp;"&lt;/name&gt;"&amp;CHAR(13)&amp;CHAR(9)&amp;CHAR(9)&amp;CHAR(9)&amp;"&lt;text&gt;"&amp;BQ10&amp;"&lt;/text&gt;"&amp;IF(ISBLANK(BS10),"",CHAR(13)&amp;CHAR(9)&amp;CHAR(9)&amp;CHAR(9)&amp;"&lt;attack&gt;"&amp;BS10&amp;"|"&amp;BT10&amp;"|"&amp;BU10&amp;"&lt;/attack&gt;")&amp;CHAR(13)&amp;CHAR(9)&amp;CHAR(9)&amp;"&lt;/"&amp;BP10&amp;"&gt;")</f>
        <v/>
      </c>
      <c r="J10" s="3" t="str">
        <f>IF(ISBLANK(BV10),"",CHAR(13)&amp;CHAR(9)&amp;CHAR(9)&amp;"&lt;"&amp;BW10&amp;"&gt;"&amp;CHAR(13)&amp;CHAR(9)&amp;CHAR(9)&amp;CHAR(9)&amp;"&lt;name&gt;"&amp;BV10&amp;"&lt;/name&gt;"&amp;CHAR(13)&amp;CHAR(9)&amp;CHAR(9)&amp;CHAR(9)&amp;"&lt;text&gt;"&amp;BX10&amp;"&lt;/text&gt;"&amp;IF(ISBLANK(BZ10),"",CHAR(13)&amp;CHAR(9)&amp;CHAR(9)&amp;CHAR(9)&amp;"&lt;attack&gt;"&amp;BZ10&amp;"|"&amp;CA10&amp;"|"&amp;CB10&amp;"&lt;/attack&gt;")&amp;CHAR(13)&amp;CHAR(9)&amp;CHAR(9)&amp;"&lt;/"&amp;BW10&amp;"&gt;")</f>
        <v/>
      </c>
      <c r="K10" s="3" t="str">
        <f>IF(ISBLANK(CC10),"",CHAR(13)&amp;CHAR(9)&amp;CHAR(9)&amp;"&lt;"&amp;CD10&amp;"&gt;"&amp;CHAR(13)&amp;CHAR(9)&amp;CHAR(9)&amp;CHAR(9)&amp;"&lt;name&gt;"&amp;CC10&amp;"&lt;/name&gt;"&amp;CHAR(13)&amp;CHAR(9)&amp;CHAR(9)&amp;CHAR(9)&amp;"&lt;text&gt;"&amp;CE10&amp;"&lt;/text&gt;"&amp;IF(ISBLANK(CG10),"",CHAR(13)&amp;CHAR(9)&amp;CHAR(9)&amp;CHAR(9)&amp;"&lt;attack&gt;"&amp;CG10&amp;"|"&amp;CH10&amp;"|"&amp;CI10&amp;"&lt;/attack&gt;")&amp;CHAR(13)&amp;CHAR(9)&amp;CHAR(9)&amp;"&lt;/"&amp;CD10&amp;"&gt;")</f>
        <v/>
      </c>
      <c r="L10" s="1" t="s">
        <v>87</v>
      </c>
      <c r="M10" s="1" t="s">
        <v>275</v>
      </c>
      <c r="N10" s="1">
        <f>DruidAlignment</f>
        <v>0</v>
      </c>
      <c r="O10" s="2">
        <v>0</v>
      </c>
      <c r="P10" s="1" t="s">
        <v>0</v>
      </c>
      <c r="Q10" s="1">
        <v>12</v>
      </c>
      <c r="R10" s="1"/>
      <c r="S10" s="1">
        <v>1</v>
      </c>
      <c r="T10" s="1">
        <v>5</v>
      </c>
      <c r="W10" s="1">
        <v>30</v>
      </c>
      <c r="Y10" s="1">
        <v>2</v>
      </c>
      <c r="Z10" s="1">
        <v>15</v>
      </c>
      <c r="AA10" s="1">
        <v>8</v>
      </c>
      <c r="AB10" s="10">
        <f>DruidInt</f>
        <v>0</v>
      </c>
      <c r="AC10" s="10">
        <f>DruidWis</f>
        <v>0</v>
      </c>
      <c r="AD10" s="10">
        <f>DruidCha</f>
        <v>0</v>
      </c>
      <c r="AE10" s="12"/>
      <c r="AF10" s="12">
        <v>3</v>
      </c>
      <c r="AG10" s="12"/>
      <c r="AH10" s="12" t="s">
        <v>173</v>
      </c>
      <c r="AI10" s="12" t="str">
        <f>IF(ISBLANK(DruidAcrobatics),"",", Acrobatics +"&amp;DruidAcrobatics)&amp;IF(ISBLANK(DruidAnimalHandling),"",", Animal Handling +"&amp;DruidAnimalHandling)&amp;IF(ISBLANK(DruidArcana),"",", Arcana +"&amp;DruidArcana)&amp;IF(DruidAthletics+AE10=0,"",", Athletics +"&amp;MAX(DruidAthletics,AE10))&amp;IF(ISBLANK(DruidDeception),"",",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+"&amp;DruidNature)&amp;IF(DruidPerception+AF10=0,"",", Perception +"&amp;MAX(DruidPerception,AF10))&amp;IF(ISBLANK(DruidPerformance),"",", Performance +"&amp;DruidPerformance)&amp;IF(ISBLANK(DruidPersuasion),"",", Persuasion +"&amp;DruidPersuasion)&amp;IF(ISBLANK(DruidReligion),"",", Religion +"&amp;DruidReligion)&amp;IF(ISBLANK(DruidSleightofHand),"",", Sleight of Hand +"&amp;DruidSleightofHand)&amp;IF(DruidStealth+AG10=0,"",", Stealth +"&amp;MAX(DruidStealth,AG10))&amp;IF(ISBLANK(DruidSurvival),"",", Survival +"&amp;DruidSurvival)</f>
        <v>, Perception +3</v>
      </c>
      <c r="AJ10" s="1" t="str">
        <f>RIGHT(AI10,LEN(AI10)-2)</f>
        <v>Perception +3</v>
      </c>
      <c r="AK1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0" s="1" t="s">
        <v>173</v>
      </c>
      <c r="AM10" s="1" t="s">
        <v>179</v>
      </c>
      <c r="AN10" s="3">
        <f>IF(DruidPerception+AF10=0,10+(ROUNDDOWN((AC10-10)/2,0)),10+MAX(DruidPerception,AF10))</f>
        <v>13</v>
      </c>
      <c r="AO10" s="1"/>
      <c r="AP10" s="1"/>
      <c r="AQ10" s="1"/>
      <c r="AR10" s="1"/>
      <c r="AS10" s="1"/>
      <c r="AT10" s="3" t="s">
        <v>213</v>
      </c>
      <c r="AU10" s="3" t="s">
        <v>148</v>
      </c>
      <c r="AV10" s="3" t="s">
        <v>493</v>
      </c>
      <c r="AW10" s="3" t="s">
        <v>173</v>
      </c>
      <c r="AZ10" s="3"/>
      <c r="BA10" s="3" t="s">
        <v>214</v>
      </c>
      <c r="BB10" s="3" t="s">
        <v>148</v>
      </c>
      <c r="BC10" s="3" t="s">
        <v>215</v>
      </c>
      <c r="BD10" s="3" t="s">
        <v>173</v>
      </c>
      <c r="BG10" s="3"/>
      <c r="BH10" s="3" t="s">
        <v>161</v>
      </c>
      <c r="BI10" s="3" t="s">
        <v>150</v>
      </c>
      <c r="BJ10" s="3" t="s">
        <v>216</v>
      </c>
      <c r="BK10" s="3" t="s">
        <v>173</v>
      </c>
      <c r="BL10" s="3" t="s">
        <v>161</v>
      </c>
      <c r="BM10" s="3">
        <v>0</v>
      </c>
      <c r="BN10" s="3">
        <v>1</v>
      </c>
      <c r="BR10" s="3" t="s">
        <v>173</v>
      </c>
      <c r="BY10" s="3" t="s">
        <v>173</v>
      </c>
      <c r="CJ10" s="6">
        <v>0</v>
      </c>
      <c r="CK10" s="6">
        <f>IF(CJ10&lt;0.26,2,IF(CJ10&lt;0.51,4,IF(CJ10&lt;1.1,8,99)))</f>
        <v>2</v>
      </c>
      <c r="CL10" s="3">
        <f>IF(M10="Elemental",10,IF(CJ10&lt;2,2,CJ10*3))</f>
        <v>2</v>
      </c>
      <c r="CM10" s="3">
        <f>IF(W10&gt;0,8,0)</f>
        <v>8</v>
      </c>
      <c r="CN10" s="3">
        <f>IF(X10&gt;0,4,0)</f>
        <v>0</v>
      </c>
    </row>
    <row r="11" spans="1:93">
      <c r="A11" s="3" t="str">
        <f>IF(DruidLevel&lt;B11,"",CHAR(9)&amp;"&lt;monster&gt;"&amp;CHAR(13)&amp;CHAR(9)&amp;CHAR(9)&amp;"&lt;name&gt;"&amp;L11&amp;" (Wild Shape)&lt;/name&gt;"&amp;CHAR(13)&amp;CHAR(9)&amp;CHAR(9)&amp;"&lt;size&gt;"&amp;LEFT(P11,1)&amp;"&lt;/size&gt;"&amp;CHAR(13)&amp;CHAR(9)&amp;CHAR(9)&amp;"&lt;type&gt;"&amp;M11&amp;"&lt;/type&gt;"&amp;CHAR(13)&amp;CHAR(9)&amp;CHAR(9)&amp;"&lt;alignment&gt;"&amp;N11&amp;"&lt;/alignment&gt;"&amp;CHAR(13)&amp;CHAR(9)&amp;CHAR(9)&amp;"&lt;ac&gt;"&amp;Q11&amp;IF(ISBLANK(R11),""," ("&amp;R11&amp;")")&amp;"&lt;/ac&gt;"&amp;CHAR(13)&amp;CHAR(9)&amp;CHAR(9)&amp;"&lt;hp&gt;"&amp;S11&amp;"&lt;/hp&gt;"&amp;CHAR(13)&amp;CHAR(9)&amp;CHAR(9)&amp;"&lt;speed&gt;"&amp;E11&amp;"&lt;/speed&gt;"&amp;CHAR(13)&amp;CHAR(9)&amp;CHAR(9)&amp;"&lt;str&gt;"&amp;Y11&amp;"&lt;/str&gt;&lt;dex&gt;"&amp;Z11&amp;"&lt;/dex&gt;&lt;con&gt;"&amp;AA11&amp;"&lt;/con&gt;&lt;int&gt;"&amp;AB11&amp;"&lt;/int&gt;&lt;wis&gt;"&amp;AC11&amp;"&lt;/wis&gt;&lt;cha&gt;"&amp;AD11&amp;"&lt;/cha&gt;"&amp;CHAR(13)&amp;CHAR(9)&amp;CHAR(9)&amp;"&lt;save&gt;"&amp;AK11&amp;"&lt;/save&gt;"&amp;CHAR(13)&amp;CHAR(9)&amp;CHAR(9)&amp;"&lt;skill&gt;"&amp;AJ11&amp;"&lt;/skill&gt;"&amp;CHAR(13)&amp;CHAR(9)&amp;CHAR(9)&amp;"&lt;vulnerable&gt;"&amp;AO11&amp;"&lt;/vulnerable&gt;"&amp;CHAR(13)&amp;CHAR(9)&amp;CHAR(9)&amp;"&lt;resist&gt;"&amp;AP11&amp;"&lt;/resist&gt;"&amp;CHAR(13)&amp;CHAR(9)&amp;CHAR(9)&amp;"&lt;immune&gt;"&amp;AQ11&amp;"&lt;/immune&gt;"&amp;CHAR(13)&amp;CHAR(9)&amp;CHAR(9)&amp;"&lt;conditionImmune&gt;"&amp;AR11&amp;"&lt;/conditionImmune&gt;"&amp;CHAR(13)&amp;CHAR(9)&amp;CHAR(9)&amp;"&lt;senses&gt;"&amp;AM11&amp;"&lt;/senses&gt;"&amp;CHAR(13)&amp;CHAR(9)&amp;CHAR(9)&amp;"&lt;passive&gt;"&amp;AN11&amp;"&lt;/passive&gt;"&amp;CHAR(13)&amp;CHAR(9)&amp;CHAR(9)&amp;"&lt;languages&gt;"&amp;AS11&amp;"&lt;/languages&gt;"&amp;CHAR(13)&amp;CHAR(9)&amp;CHAR(9)&amp;"&lt;cr&gt;"&amp;O11&amp;"&lt;/cr&gt;"&amp;F11&amp;G11&amp;H11&amp;I11&amp;J11&amp;K11&amp;IF(C11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1" s="3">
        <f>IF(COTM=TRUE,MAX(CL11,CM11,CN11),MAX(CK11,CM11,CN11))</f>
        <v>4</v>
      </c>
      <c r="C11" s="11" t="str">
        <f>IF(COTM=FALSE,"",IF(DruidLevel&gt;5,"Y",""))</f>
        <v/>
      </c>
      <c r="D11" s="3" t="s">
        <v>173</v>
      </c>
      <c r="E11" s="3" t="str">
        <f>T11&amp;" ft."&amp;IF(U11+V11+W11+X11=0,"",", ")&amp;IF(ISBLANK(U11),"","burrow "&amp;U11&amp;" ft."&amp;IF(V11+W11+X11=0,"",", "))&amp;IF(ISBLANK(V11),"","climb "&amp;V11&amp;" ft."&amp;IF(W11+X11=0,"",", "))&amp;IF(ISBLANK(W11),"","fly "&amp;W11&amp;" ft."&amp;IF(X11=0,"",", "))&amp;IF(ISBLANK(X11),"","swim "&amp;X11&amp;" ft.")</f>
        <v>40 ft., climb 30 ft.</v>
      </c>
      <c r="F11" s="3" t="str">
        <f>IF(ISBLANK(AT11),"",CHAR(13)&amp;CHAR(9)&amp;CHAR(9)&amp;"&lt;"&amp;AU11&amp;"&gt;"&amp;CHAR(13)&amp;CHAR(9)&amp;CHAR(9)&amp;CHAR(9)&amp;"&lt;name&gt;"&amp;AT11&amp;"&lt;/name&gt;"&amp;CHAR(13)&amp;CHAR(9)&amp;CHAR(9)&amp;CHAR(9)&amp;"&lt;text&gt;"&amp;AV11&amp;"&lt;/text&gt;"&amp;IF(ISBLANK(AX11),"",CHAR(13)&amp;CHAR(9)&amp;CHAR(9)&amp;CHAR(9)&amp;"&lt;attack&gt;"&amp;AX11&amp;"|"&amp;AY11&amp;"|"&amp;AZ11&amp;"&lt;/attack&gt;")&amp;CHAR(13)&amp;CHAR(9)&amp;CHAR(9)&amp;"&lt;/"&amp;AU11&amp;"&gt;")</f>
        <v>_x000D_		&lt;trait&gt;_x000D_			&lt;name&gt;Keen Smell&lt;/name&gt;_x000D_			&lt;text&gt;The bear has advantage on Wisdom (Perception) checks that rely on smell.&lt;/text&gt;_x000D_		&lt;/trait&gt;</v>
      </c>
      <c r="G11" s="3" t="str">
        <f>IF(ISBLANK(BA11),"",CHAR(13)&amp;CHAR(9)&amp;CHAR(9)&amp;"&lt;"&amp;BB11&amp;"&gt;"&amp;CHAR(13)&amp;CHAR(9)&amp;CHAR(9)&amp;CHAR(9)&amp;"&lt;name&gt;"&amp;BA11&amp;"&lt;/name&gt;"&amp;CHAR(13)&amp;CHAR(9)&amp;CHAR(9)&amp;CHAR(9)&amp;"&lt;text&gt;"&amp;BC11&amp;"&lt;/text&gt;"&amp;IF(ISBLANK(BE11),"",CHAR(13)&amp;CHAR(9)&amp;CHAR(9)&amp;CHAR(9)&amp;"&lt;attack&gt;"&amp;BE11&amp;"|"&amp;BF11&amp;"|"&amp;BG11&amp;"&lt;/attack&gt;")&amp;CHAR(13)&amp;CHAR(9)&amp;CHAR(9)&amp;"&lt;/"&amp;BB11&amp;"&gt;")</f>
        <v>_x000D_		&lt;action&gt;_x000D_			&lt;name&gt;Multiattack&lt;/name&gt;_x000D_			&lt;text&gt;The bear makes two attacks: one with its bite and one with its claws.&lt;/text&gt;_x000D_		&lt;/action&gt;</v>
      </c>
      <c r="H11" s="3" t="str">
        <f>IF(ISBLANK(BH11),"",CHAR(13)&amp;CHAR(9)&amp;CHAR(9)&amp;"&lt;"&amp;BI11&amp;"&gt;"&amp;CHAR(13)&amp;CHAR(9)&amp;CHAR(9)&amp;CHAR(9)&amp;"&lt;name&gt;"&amp;BH11&amp;"&lt;/name&gt;"&amp;CHAR(13)&amp;CHAR(9)&amp;CHAR(9)&amp;CHAR(9)&amp;"&lt;text&gt;"&amp;BJ11&amp;"&lt;/text&gt;"&amp;IF(ISBLANK(BL11),"",CHAR(13)&amp;CHAR(9)&amp;CHAR(9)&amp;CHAR(9)&amp;"&lt;attack&gt;"&amp;BL11&amp;"|"&amp;BM11&amp;"|"&amp;BN11&amp;"&lt;/attack&gt;")&amp;CHAR(13)&amp;CHAR(9)&amp;CHAR(9)&amp;"&lt;/"&amp;BI11&amp;"&gt;")</f>
        <v>_x000D_		&lt;action&gt;_x000D_			&lt;name&gt;Bite&lt;/name&gt;_x000D_			&lt;text&gt;Melee Weapon Attack: +3 to hit, reach 5 ft., one target. Hit: 5 (1d6+2) piercing damage.&lt;/text&gt;_x000D_			&lt;attack&gt;Bite|3|1d6+2&lt;/attack&gt;_x000D_		&lt;/action&gt;</v>
      </c>
      <c r="I11" s="3" t="str">
        <f>IF(ISBLANK(BO11),"",CHAR(13)&amp;CHAR(9)&amp;CHAR(9)&amp;"&lt;"&amp;BP11&amp;"&gt;"&amp;CHAR(13)&amp;CHAR(9)&amp;CHAR(9)&amp;CHAR(9)&amp;"&lt;name&gt;"&amp;BO11&amp;"&lt;/name&gt;"&amp;CHAR(13)&amp;CHAR(9)&amp;CHAR(9)&amp;CHAR(9)&amp;"&lt;text&gt;"&amp;BQ11&amp;"&lt;/text&gt;"&amp;IF(ISBLANK(BS11),"",CHAR(13)&amp;CHAR(9)&amp;CHAR(9)&amp;CHAR(9)&amp;"&lt;attack&gt;"&amp;BS11&amp;"|"&amp;BT11&amp;"|"&amp;BU11&amp;"&lt;/attack&gt;")&amp;CHAR(13)&amp;CHAR(9)&amp;CHAR(9)&amp;"&lt;/"&amp;BP11&amp;"&gt;")</f>
        <v>_x000D_		&lt;action&gt;_x000D_			&lt;name&gt;Claws&lt;/name&gt;_x000D_			&lt;text&gt;Melee Weapon Attack: +3 to hit, reach 5 ft., one target. Hit: 7 (2d4+2) slashing damage.&lt;/text&gt;_x000D_			&lt;attack&gt;Claws|3|2d4+2&lt;/attack&gt;_x000D_		&lt;/action&gt;</v>
      </c>
      <c r="J11" s="3" t="str">
        <f>IF(ISBLANK(BV11),"",CHAR(13)&amp;CHAR(9)&amp;CHAR(9)&amp;"&lt;"&amp;BW11&amp;"&gt;"&amp;CHAR(13)&amp;CHAR(9)&amp;CHAR(9)&amp;CHAR(9)&amp;"&lt;name&gt;"&amp;BV11&amp;"&lt;/name&gt;"&amp;CHAR(13)&amp;CHAR(9)&amp;CHAR(9)&amp;CHAR(9)&amp;"&lt;text&gt;"&amp;BX11&amp;"&lt;/text&gt;"&amp;IF(ISBLANK(BZ11),"",CHAR(13)&amp;CHAR(9)&amp;CHAR(9)&amp;CHAR(9)&amp;"&lt;attack&gt;"&amp;BZ11&amp;"|"&amp;CA11&amp;"|"&amp;CB11&amp;"&lt;/attack&gt;")&amp;CHAR(13)&amp;CHAR(9)&amp;CHAR(9)&amp;"&lt;/"&amp;BW11&amp;"&gt;")</f>
        <v/>
      </c>
      <c r="K11" s="3" t="str">
        <f>IF(ISBLANK(CC11),"",CHAR(13)&amp;CHAR(9)&amp;CHAR(9)&amp;"&lt;"&amp;CD11&amp;"&gt;"&amp;CHAR(13)&amp;CHAR(9)&amp;CHAR(9)&amp;CHAR(9)&amp;"&lt;name&gt;"&amp;CC11&amp;"&lt;/name&gt;"&amp;CHAR(13)&amp;CHAR(9)&amp;CHAR(9)&amp;CHAR(9)&amp;"&lt;text&gt;"&amp;CE11&amp;"&lt;/text&gt;"&amp;IF(ISBLANK(CG11),"",CHAR(13)&amp;CHAR(9)&amp;CHAR(9)&amp;CHAR(9)&amp;"&lt;attack&gt;"&amp;CG11&amp;"|"&amp;CH11&amp;"|"&amp;CI11&amp;"&lt;/attack&gt;")&amp;CHAR(13)&amp;CHAR(9)&amp;CHAR(9)&amp;"&lt;/"&amp;CD11&amp;"&gt;")</f>
        <v/>
      </c>
      <c r="L11" s="1" t="s">
        <v>46</v>
      </c>
      <c r="M11" s="1" t="s">
        <v>275</v>
      </c>
      <c r="N11" s="1">
        <f>DruidAlignment</f>
        <v>0</v>
      </c>
      <c r="O11" s="2" t="s">
        <v>206</v>
      </c>
      <c r="P11" s="1" t="s">
        <v>17</v>
      </c>
      <c r="Q11" s="1">
        <v>11</v>
      </c>
      <c r="R11" s="1" t="s">
        <v>405</v>
      </c>
      <c r="S11" s="1">
        <v>19</v>
      </c>
      <c r="T11" s="1">
        <v>40</v>
      </c>
      <c r="V11" s="1">
        <v>30</v>
      </c>
      <c r="Y11" s="1">
        <v>15</v>
      </c>
      <c r="Z11" s="1">
        <v>10</v>
      </c>
      <c r="AA11" s="1">
        <v>14</v>
      </c>
      <c r="AB11" s="10">
        <f>DruidInt</f>
        <v>0</v>
      </c>
      <c r="AC11" s="10">
        <f>DruidWis</f>
        <v>0</v>
      </c>
      <c r="AD11" s="10">
        <f>DruidCha</f>
        <v>0</v>
      </c>
      <c r="AE11" s="12"/>
      <c r="AF11" s="12"/>
      <c r="AG11" s="12"/>
      <c r="AH11" s="12" t="s">
        <v>173</v>
      </c>
      <c r="AI11" s="12" t="str">
        <f>IF(ISBLANK(DruidAcrobatics),"",", Acrobatics +"&amp;DruidAcrobatics)&amp;IF(ISBLANK(DruidAnimalHandling),"",", Animal Handling +"&amp;DruidAnimalHandling)&amp;IF(ISBLANK(DruidArcana),"",", Arcana +"&amp;DruidArcana)&amp;IF(DruidAthletics+AE11=0,"",", Athletics +"&amp;MAX(DruidAthletics,AE11))&amp;IF(ISBLANK(DruidDeception),"",",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+"&amp;DruidNature)&amp;IF(DruidPerception+AF11=0,"",", Perception +"&amp;MAX(DruidPerception,AF11))&amp;IF(ISBLANK(DruidPerformance),"",", Performance +"&amp;DruidPerformance)&amp;IF(ISBLANK(DruidPersuasion),"",", Persuasion +"&amp;DruidPersuasion)&amp;IF(ISBLANK(DruidReligion),"",", Religion +"&amp;DruidReligion)&amp;IF(ISBLANK(DruidSleightofHand),"",", Sleight of Hand +"&amp;DruidSleightofHand)&amp;IF(DruidStealth+AG11=0,"",", Stealth +"&amp;MAX(DruidStealth,AG11))&amp;IF(ISBLANK(DruidSurvival),"",", Survival +"&amp;DruidSurvival)</f>
        <v/>
      </c>
      <c r="AJ11" s="1" t="e">
        <f>RIGHT(AI11,LEN(AI11)-2)</f>
        <v>#VALUE!</v>
      </c>
      <c r="AK1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1" s="1" t="s">
        <v>173</v>
      </c>
      <c r="AN11" s="3">
        <f>IF(DruidPerception+AF11=0,10+(ROUNDDOWN((AC11-10)/2,0)),10+MAX(DruidPerception,AF11))</f>
        <v>5</v>
      </c>
      <c r="AT11" s="3" t="s">
        <v>14</v>
      </c>
      <c r="AU11" s="3" t="s">
        <v>148</v>
      </c>
      <c r="AV11" s="3" t="s">
        <v>217</v>
      </c>
      <c r="AW11" s="3" t="s">
        <v>173</v>
      </c>
      <c r="AZ11" s="3"/>
      <c r="BA11" s="3" t="s">
        <v>149</v>
      </c>
      <c r="BB11" s="3" t="s">
        <v>150</v>
      </c>
      <c r="BC11" s="3" t="s">
        <v>218</v>
      </c>
      <c r="BD11" s="3" t="s">
        <v>173</v>
      </c>
      <c r="BG11" s="3"/>
      <c r="BH11" s="3" t="s">
        <v>161</v>
      </c>
      <c r="BI11" s="3" t="s">
        <v>150</v>
      </c>
      <c r="BJ11" s="3" t="s">
        <v>436</v>
      </c>
      <c r="BK11" s="3" t="s">
        <v>173</v>
      </c>
      <c r="BL11" s="3" t="s">
        <v>161</v>
      </c>
      <c r="BM11" s="3">
        <v>3</v>
      </c>
      <c r="BN11" s="3" t="s">
        <v>219</v>
      </c>
      <c r="BO11" s="3" t="s">
        <v>220</v>
      </c>
      <c r="BP11" s="3" t="s">
        <v>150</v>
      </c>
      <c r="BQ11" s="3" t="s">
        <v>437</v>
      </c>
      <c r="BR11" s="3" t="s">
        <v>173</v>
      </c>
      <c r="BS11" s="3" t="s">
        <v>220</v>
      </c>
      <c r="BT11" s="3">
        <v>3</v>
      </c>
      <c r="BU11" s="3" t="s">
        <v>221</v>
      </c>
      <c r="BY11" s="3" t="s">
        <v>173</v>
      </c>
      <c r="CJ11" s="6">
        <v>0.5</v>
      </c>
      <c r="CK11" s="6">
        <f>IF(CJ11&lt;0.26,2,IF(CJ11&lt;0.51,4,IF(CJ11&lt;1.1,8,99)))</f>
        <v>4</v>
      </c>
      <c r="CL11" s="3">
        <f>IF(M11="Elemental",10,IF(CJ11&lt;2,2,CJ11*3))</f>
        <v>2</v>
      </c>
      <c r="CM11" s="3">
        <f>IF(W11&gt;0,8,0)</f>
        <v>0</v>
      </c>
      <c r="CN11" s="3">
        <f>IF(X11&gt;0,4,0)</f>
        <v>0</v>
      </c>
    </row>
    <row r="12" spans="1:93">
      <c r="A12" s="3" t="str">
        <f>IF(DruidLevel&lt;B12,"",CHAR(9)&amp;"&lt;monster&gt;"&amp;CHAR(13)&amp;CHAR(9)&amp;CHAR(9)&amp;"&lt;name&gt;"&amp;L12&amp;" (Wild Shape)&lt;/name&gt;"&amp;CHAR(13)&amp;CHAR(9)&amp;CHAR(9)&amp;"&lt;size&gt;"&amp;LEFT(P12,1)&amp;"&lt;/size&gt;"&amp;CHAR(13)&amp;CHAR(9)&amp;CHAR(9)&amp;"&lt;type&gt;"&amp;M12&amp;"&lt;/type&gt;"&amp;CHAR(13)&amp;CHAR(9)&amp;CHAR(9)&amp;"&lt;alignment&gt;"&amp;N12&amp;"&lt;/alignment&gt;"&amp;CHAR(13)&amp;CHAR(9)&amp;CHAR(9)&amp;"&lt;ac&gt;"&amp;Q12&amp;IF(ISBLANK(R12),""," ("&amp;R12&amp;")")&amp;"&lt;/ac&gt;"&amp;CHAR(13)&amp;CHAR(9)&amp;CHAR(9)&amp;"&lt;hp&gt;"&amp;S12&amp;"&lt;/hp&gt;"&amp;CHAR(13)&amp;CHAR(9)&amp;CHAR(9)&amp;"&lt;speed&gt;"&amp;E12&amp;"&lt;/speed&gt;"&amp;CHAR(13)&amp;CHAR(9)&amp;CHAR(9)&amp;"&lt;str&gt;"&amp;Y12&amp;"&lt;/str&gt;&lt;dex&gt;"&amp;Z12&amp;"&lt;/dex&gt;&lt;con&gt;"&amp;AA12&amp;"&lt;/con&gt;&lt;int&gt;"&amp;AB12&amp;"&lt;/int&gt;&lt;wis&gt;"&amp;AC12&amp;"&lt;/wis&gt;&lt;cha&gt;"&amp;AD12&amp;"&lt;/cha&gt;"&amp;CHAR(13)&amp;CHAR(9)&amp;CHAR(9)&amp;"&lt;save&gt;"&amp;AK12&amp;"&lt;/save&gt;"&amp;CHAR(13)&amp;CHAR(9)&amp;CHAR(9)&amp;"&lt;skill&gt;"&amp;AJ12&amp;"&lt;/skill&gt;"&amp;CHAR(13)&amp;CHAR(9)&amp;CHAR(9)&amp;"&lt;vulnerable&gt;"&amp;AO12&amp;"&lt;/vulnerable&gt;"&amp;CHAR(13)&amp;CHAR(9)&amp;CHAR(9)&amp;"&lt;resist&gt;"&amp;AP12&amp;"&lt;/resist&gt;"&amp;CHAR(13)&amp;CHAR(9)&amp;CHAR(9)&amp;"&lt;immune&gt;"&amp;AQ12&amp;"&lt;/immune&gt;"&amp;CHAR(13)&amp;CHAR(9)&amp;CHAR(9)&amp;"&lt;conditionImmune&gt;"&amp;AR12&amp;"&lt;/conditionImmune&gt;"&amp;CHAR(13)&amp;CHAR(9)&amp;CHAR(9)&amp;"&lt;senses&gt;"&amp;AM12&amp;"&lt;/senses&gt;"&amp;CHAR(13)&amp;CHAR(9)&amp;CHAR(9)&amp;"&lt;passive&gt;"&amp;AN12&amp;"&lt;/passive&gt;"&amp;CHAR(13)&amp;CHAR(9)&amp;CHAR(9)&amp;"&lt;languages&gt;"&amp;AS12&amp;"&lt;/languages&gt;"&amp;CHAR(13)&amp;CHAR(9)&amp;CHAR(9)&amp;"&lt;cr&gt;"&amp;O12&amp;"&lt;/cr&gt;"&amp;F12&amp;G12&amp;H12&amp;I12&amp;J12&amp;K12&amp;IF(C12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2" s="3">
        <f>IF(COTM=TRUE,MAX(CL12,CM12,CN12),MAX(CK12,CM12,CN12))</f>
        <v>8</v>
      </c>
      <c r="C12" s="11" t="str">
        <f>IF(COTM=FALSE,"",IF(DruidLevel&gt;5,"Y",""))</f>
        <v/>
      </c>
      <c r="D12" s="3" t="s">
        <v>173</v>
      </c>
      <c r="E12" s="3" t="str">
        <f>T12&amp;" ft."&amp;IF(U12+V12+W12+X12=0,"",", ")&amp;IF(ISBLANK(U12),"","burrow "&amp;U12&amp;" ft."&amp;IF(V12+W12+X12=0,"",", "))&amp;IF(ISBLANK(V12),"","climb "&amp;V12&amp;" ft."&amp;IF(W12+X12=0,"",", "))&amp;IF(ISBLANK(W12),"","fly "&amp;W12&amp;" ft."&amp;IF(X12=0,"",", "))&amp;IF(ISBLANK(X12),"","swim "&amp;X12&amp;" ft.")</f>
        <v>10 ft., fly 60 ft.</v>
      </c>
      <c r="F12" s="3" t="str">
        <f>IF(ISBLANK(AT12),"",CHAR(13)&amp;CHAR(9)&amp;CHAR(9)&amp;"&lt;"&amp;AU12&amp;"&gt;"&amp;CHAR(13)&amp;CHAR(9)&amp;CHAR(9)&amp;CHAR(9)&amp;"&lt;name&gt;"&amp;AT12&amp;"&lt;/name&gt;"&amp;CHAR(13)&amp;CHAR(9)&amp;CHAR(9)&amp;CHAR(9)&amp;"&lt;text&gt;"&amp;AV12&amp;"&lt;/text&gt;"&amp;IF(ISBLANK(AX12),"",CHAR(13)&amp;CHAR(9)&amp;CHAR(9)&amp;CHAR(9)&amp;"&lt;attack&gt;"&amp;AX12&amp;"|"&amp;AY12&amp;"|"&amp;AZ12&amp;"&lt;/attack&gt;")&amp;CHAR(13)&amp;CHAR(9)&amp;CHAR(9)&amp;"&lt;/"&amp;AU12&amp;"&gt;")</f>
        <v>_x000D_		&lt;trait&gt;_x000D_			&lt;name&gt;Keen Sight&lt;/name&gt;_x000D_			&lt;text&gt;The hawk has advantage on Wisdom (Perception) checks that rely on sight.&lt;/text&gt;_x000D_		&lt;/trait&gt;</v>
      </c>
      <c r="G12" s="3" t="str">
        <f>IF(ISBLANK(BA12),"",CHAR(13)&amp;CHAR(9)&amp;CHAR(9)&amp;"&lt;"&amp;BB12&amp;"&gt;"&amp;CHAR(13)&amp;CHAR(9)&amp;CHAR(9)&amp;CHAR(9)&amp;"&lt;name&gt;"&amp;BA12&amp;"&lt;/name&gt;"&amp;CHAR(13)&amp;CHAR(9)&amp;CHAR(9)&amp;CHAR(9)&amp;"&lt;text&gt;"&amp;BC12&amp;"&lt;/text&gt;"&amp;IF(ISBLANK(BE12),"",CHAR(13)&amp;CHAR(9)&amp;CHAR(9)&amp;CHAR(9)&amp;"&lt;attack&gt;"&amp;BE12&amp;"|"&amp;BF12&amp;"|"&amp;BG12&amp;"&lt;/attack&gt;")&amp;CHAR(13)&amp;CHAR(9)&amp;CHAR(9)&amp;"&lt;/"&amp;BB12&amp;"&gt;")</f>
        <v>_x000D_		&lt;trait&gt;_x000D_			&lt;name&gt;Pack Tactics&lt;/name&gt;_x000D_			&lt;text&gt;The hawk has advantage on an attack roll against a creature if at least one of the hawk's allies is within 5 feet of the creature and the ally isn't incapacitated.&lt;/text&gt;_x000D_		&lt;/trait&gt;</v>
      </c>
      <c r="H12" s="3" t="str">
        <f>IF(ISBLANK(BH12),"",CHAR(13)&amp;CHAR(9)&amp;CHAR(9)&amp;"&lt;"&amp;BI12&amp;"&gt;"&amp;CHAR(13)&amp;CHAR(9)&amp;CHAR(9)&amp;CHAR(9)&amp;"&lt;name&gt;"&amp;BH12&amp;"&lt;/name&gt;"&amp;CHAR(13)&amp;CHAR(9)&amp;CHAR(9)&amp;CHAR(9)&amp;"&lt;text&gt;"&amp;BJ12&amp;"&lt;/text&gt;"&amp;IF(ISBLANK(BL12),"",CHAR(13)&amp;CHAR(9)&amp;CHAR(9)&amp;CHAR(9)&amp;"&lt;attack&gt;"&amp;BL12&amp;"|"&amp;BM12&amp;"|"&amp;BN12&amp;"&lt;/attack&gt;")&amp;CHAR(13)&amp;CHAR(9)&amp;CHAR(9)&amp;"&lt;/"&amp;BI12&amp;"&gt;")</f>
        <v>_x000D_		&lt;action&gt;_x000D_			&lt;name&gt;Beak&lt;/name&gt;_x000D_			&lt;text&gt;Melee Weapon Attack: +4 to hit, reach 5 ft., one target. Hit: 4 (1d4+2) piercing damage.&lt;/text&gt;_x000D_			&lt;attack&gt;Beak|4|1d4+2&lt;/attack&gt;_x000D_		&lt;/action&gt;</v>
      </c>
      <c r="I12" s="3" t="str">
        <f>IF(ISBLANK(BO12),"",CHAR(13)&amp;CHAR(9)&amp;CHAR(9)&amp;"&lt;"&amp;BP12&amp;"&gt;"&amp;CHAR(13)&amp;CHAR(9)&amp;CHAR(9)&amp;CHAR(9)&amp;"&lt;name&gt;"&amp;BO12&amp;"&lt;/name&gt;"&amp;CHAR(13)&amp;CHAR(9)&amp;CHAR(9)&amp;CHAR(9)&amp;"&lt;text&gt;"&amp;BQ12&amp;"&lt;/text&gt;"&amp;IF(ISBLANK(BS12),"",CHAR(13)&amp;CHAR(9)&amp;CHAR(9)&amp;CHAR(9)&amp;"&lt;attack&gt;"&amp;BS12&amp;"|"&amp;BT12&amp;"|"&amp;BU12&amp;"&lt;/attack&gt;")&amp;CHAR(13)&amp;CHAR(9)&amp;CHAR(9)&amp;"&lt;/"&amp;BP12&amp;"&gt;")</f>
        <v/>
      </c>
      <c r="J12" s="3" t="str">
        <f>IF(ISBLANK(BV12),"",CHAR(13)&amp;CHAR(9)&amp;CHAR(9)&amp;"&lt;"&amp;BW12&amp;"&gt;"&amp;CHAR(13)&amp;CHAR(9)&amp;CHAR(9)&amp;CHAR(9)&amp;"&lt;name&gt;"&amp;BV12&amp;"&lt;/name&gt;"&amp;CHAR(13)&amp;CHAR(9)&amp;CHAR(9)&amp;CHAR(9)&amp;"&lt;text&gt;"&amp;BX12&amp;"&lt;/text&gt;"&amp;IF(ISBLANK(BZ12),"",CHAR(13)&amp;CHAR(9)&amp;CHAR(9)&amp;CHAR(9)&amp;"&lt;attack&gt;"&amp;BZ12&amp;"|"&amp;CA12&amp;"|"&amp;CB12&amp;"&lt;/attack&gt;")&amp;CHAR(13)&amp;CHAR(9)&amp;CHAR(9)&amp;"&lt;/"&amp;BW12&amp;"&gt;")</f>
        <v/>
      </c>
      <c r="K12" s="3" t="str">
        <f>IF(ISBLANK(CC12),"",CHAR(13)&amp;CHAR(9)&amp;CHAR(9)&amp;"&lt;"&amp;CD12&amp;"&gt;"&amp;CHAR(13)&amp;CHAR(9)&amp;CHAR(9)&amp;CHAR(9)&amp;"&lt;name&gt;"&amp;CC12&amp;"&lt;/name&gt;"&amp;CHAR(13)&amp;CHAR(9)&amp;CHAR(9)&amp;CHAR(9)&amp;"&lt;text&gt;"&amp;CE12&amp;"&lt;/text&gt;"&amp;IF(ISBLANK(CG12),"",CHAR(13)&amp;CHAR(9)&amp;CHAR(9)&amp;CHAR(9)&amp;"&lt;attack&gt;"&amp;CG12&amp;"|"&amp;CH12&amp;"|"&amp;CI12&amp;"&lt;/attack&gt;")&amp;CHAR(13)&amp;CHAR(9)&amp;CHAR(9)&amp;"&lt;/"&amp;CD12&amp;"&gt;")</f>
        <v/>
      </c>
      <c r="L12" s="1" t="s">
        <v>93</v>
      </c>
      <c r="M12" s="1" t="s">
        <v>275</v>
      </c>
      <c r="N12" s="1">
        <f>DruidAlignment</f>
        <v>0</v>
      </c>
      <c r="O12" s="2" t="s">
        <v>207</v>
      </c>
      <c r="P12" s="1" t="s">
        <v>11</v>
      </c>
      <c r="Q12" s="1">
        <v>12</v>
      </c>
      <c r="R12" s="1"/>
      <c r="S12" s="1">
        <v>7</v>
      </c>
      <c r="T12" s="1">
        <v>10</v>
      </c>
      <c r="W12" s="1">
        <v>60</v>
      </c>
      <c r="Y12" s="1">
        <v>6</v>
      </c>
      <c r="Z12" s="1">
        <v>14</v>
      </c>
      <c r="AA12" s="1">
        <v>10</v>
      </c>
      <c r="AB12" s="10">
        <f>DruidInt</f>
        <v>0</v>
      </c>
      <c r="AC12" s="10">
        <f>DruidWis</f>
        <v>0</v>
      </c>
      <c r="AD12" s="10">
        <f>DruidCha</f>
        <v>0</v>
      </c>
      <c r="AE12" s="12"/>
      <c r="AF12" s="12">
        <v>4</v>
      </c>
      <c r="AG12" s="12"/>
      <c r="AH12" s="12" t="s">
        <v>173</v>
      </c>
      <c r="AI12" s="12" t="str">
        <f>IF(ISBLANK(DruidAcrobatics),"",", Acrobatics +"&amp;DruidAcrobatics)&amp;IF(ISBLANK(DruidAnimalHandling),"",", Animal Handling +"&amp;DruidAnimalHandling)&amp;IF(ISBLANK(DruidArcana),"",", Arcana +"&amp;DruidArcana)&amp;IF(DruidAthletics+AE12=0,"",", Athletics +"&amp;MAX(DruidAthletics,AE12))&amp;IF(ISBLANK(DruidDeception),"",",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+"&amp;DruidNature)&amp;IF(DruidPerception+AF12=0,"",", Perception +"&amp;MAX(DruidPerception,AF12))&amp;IF(ISBLANK(DruidPerformance),"",", Performance +"&amp;DruidPerformance)&amp;IF(ISBLANK(DruidPersuasion),"",", Persuasion +"&amp;DruidPersuasion)&amp;IF(ISBLANK(DruidReligion),"",", Religion +"&amp;DruidReligion)&amp;IF(ISBLANK(DruidSleightofHand),"",", Sleight of Hand +"&amp;DruidSleightofHand)&amp;IF(DruidStealth+AG12=0,"",", Stealth +"&amp;MAX(DruidStealth,AG12))&amp;IF(ISBLANK(DruidSurvival),"",", Survival +"&amp;DruidSurvival)</f>
        <v>, Perception +4</v>
      </c>
      <c r="AJ12" s="1" t="str">
        <f>RIGHT(AI12,LEN(AI12)-2)</f>
        <v>Perception +4</v>
      </c>
      <c r="AK1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2" s="1" t="s">
        <v>173</v>
      </c>
      <c r="AN12" s="3">
        <f>IF(DruidPerception+AF12=0,10+(ROUNDDOWN((AC12-10)/2,0)),10+MAX(DruidPerception,AF12))</f>
        <v>14</v>
      </c>
      <c r="AT12" s="3" t="s">
        <v>9</v>
      </c>
      <c r="AU12" s="3" t="s">
        <v>148</v>
      </c>
      <c r="AV12" s="3" t="s">
        <v>222</v>
      </c>
      <c r="AW12" s="3" t="s">
        <v>173</v>
      </c>
      <c r="AZ12" s="3"/>
      <c r="BA12" s="3" t="s">
        <v>12</v>
      </c>
      <c r="BB12" s="3" t="s">
        <v>148</v>
      </c>
      <c r="BC12" s="3" t="s">
        <v>478</v>
      </c>
      <c r="BD12" s="3" t="s">
        <v>173</v>
      </c>
      <c r="BG12" s="3"/>
      <c r="BH12" s="3" t="s">
        <v>174</v>
      </c>
      <c r="BI12" s="3" t="s">
        <v>150</v>
      </c>
      <c r="BJ12" s="3" t="s">
        <v>438</v>
      </c>
      <c r="BK12" s="3" t="s">
        <v>173</v>
      </c>
      <c r="BL12" s="3" t="s">
        <v>174</v>
      </c>
      <c r="BM12" s="3">
        <v>4</v>
      </c>
      <c r="BN12" s="3" t="s">
        <v>204</v>
      </c>
      <c r="BR12" s="3" t="s">
        <v>173</v>
      </c>
      <c r="BY12" s="3" t="s">
        <v>173</v>
      </c>
      <c r="CJ12" s="6">
        <v>0.125</v>
      </c>
      <c r="CK12" s="6">
        <f>IF(CJ12&lt;0.26,2,IF(CJ12&lt;0.51,4,IF(CJ12&lt;1.1,8,99)))</f>
        <v>2</v>
      </c>
      <c r="CL12" s="3">
        <f>IF(M12="Elemental",10,IF(CJ12&lt;2,2,CJ12*3))</f>
        <v>2</v>
      </c>
      <c r="CM12" s="3">
        <f>IF(W12&gt;0,8,0)</f>
        <v>8</v>
      </c>
      <c r="CN12" s="3">
        <f>IF(X12&gt;0,4,0)</f>
        <v>0</v>
      </c>
    </row>
    <row r="13" spans="1:93">
      <c r="A13" s="3" t="str">
        <f>IF(DruidLevel&lt;B13,"",CHAR(9)&amp;"&lt;monster&gt;"&amp;CHAR(13)&amp;CHAR(9)&amp;CHAR(9)&amp;"&lt;name&gt;"&amp;L13&amp;" (Wild Shape)&lt;/name&gt;"&amp;CHAR(13)&amp;CHAR(9)&amp;CHAR(9)&amp;"&lt;size&gt;"&amp;LEFT(P13,1)&amp;"&lt;/size&gt;"&amp;CHAR(13)&amp;CHAR(9)&amp;CHAR(9)&amp;"&lt;type&gt;"&amp;M13&amp;"&lt;/type&gt;"&amp;CHAR(13)&amp;CHAR(9)&amp;CHAR(9)&amp;"&lt;alignment&gt;"&amp;N13&amp;"&lt;/alignment&gt;"&amp;CHAR(13)&amp;CHAR(9)&amp;CHAR(9)&amp;"&lt;ac&gt;"&amp;Q13&amp;IF(ISBLANK(R13),""," ("&amp;R13&amp;")")&amp;"&lt;/ac&gt;"&amp;CHAR(13)&amp;CHAR(9)&amp;CHAR(9)&amp;"&lt;hp&gt;"&amp;S13&amp;"&lt;/hp&gt;"&amp;CHAR(13)&amp;CHAR(9)&amp;CHAR(9)&amp;"&lt;speed&gt;"&amp;E13&amp;"&lt;/speed&gt;"&amp;CHAR(13)&amp;CHAR(9)&amp;CHAR(9)&amp;"&lt;str&gt;"&amp;Y13&amp;"&lt;/str&gt;&lt;dex&gt;"&amp;Z13&amp;"&lt;/dex&gt;&lt;con&gt;"&amp;AA13&amp;"&lt;/con&gt;&lt;int&gt;"&amp;AB13&amp;"&lt;/int&gt;&lt;wis&gt;"&amp;AC13&amp;"&lt;/wis&gt;&lt;cha&gt;"&amp;AD13&amp;"&lt;/cha&gt;"&amp;CHAR(13)&amp;CHAR(9)&amp;CHAR(9)&amp;"&lt;save&gt;"&amp;AK13&amp;"&lt;/save&gt;"&amp;CHAR(13)&amp;CHAR(9)&amp;CHAR(9)&amp;"&lt;skill&gt;"&amp;AJ13&amp;"&lt;/skill&gt;"&amp;CHAR(13)&amp;CHAR(9)&amp;CHAR(9)&amp;"&lt;vulnerable&gt;"&amp;AO13&amp;"&lt;/vulnerable&gt;"&amp;CHAR(13)&amp;CHAR(9)&amp;CHAR(9)&amp;"&lt;resist&gt;"&amp;AP13&amp;"&lt;/resist&gt;"&amp;CHAR(13)&amp;CHAR(9)&amp;CHAR(9)&amp;"&lt;immune&gt;"&amp;AQ13&amp;"&lt;/immune&gt;"&amp;CHAR(13)&amp;CHAR(9)&amp;CHAR(9)&amp;"&lt;conditionImmune&gt;"&amp;AR13&amp;"&lt;/conditionImmune&gt;"&amp;CHAR(13)&amp;CHAR(9)&amp;CHAR(9)&amp;"&lt;senses&gt;"&amp;AM13&amp;"&lt;/senses&gt;"&amp;CHAR(13)&amp;CHAR(9)&amp;CHAR(9)&amp;"&lt;passive&gt;"&amp;AN13&amp;"&lt;/passive&gt;"&amp;CHAR(13)&amp;CHAR(9)&amp;CHAR(9)&amp;"&lt;languages&gt;"&amp;AS13&amp;"&lt;/languages&gt;"&amp;CHAR(13)&amp;CHAR(9)&amp;CHAR(9)&amp;"&lt;cr&gt;"&amp;O13&amp;"&lt;/cr&gt;"&amp;F13&amp;G13&amp;H13&amp;I13&amp;J13&amp;K13&amp;IF(C13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3" s="3">
        <f>IF(COTM=TRUE,MAX(CL13,CM13,CN13),MAX(CK13,CM13,CN13))</f>
        <v>2</v>
      </c>
      <c r="C13" s="11" t="str">
        <f>IF(COTM=FALSE,"",IF(DruidLevel&gt;5,"Y",""))</f>
        <v/>
      </c>
      <c r="D13" s="3" t="s">
        <v>173</v>
      </c>
      <c r="E13" s="3" t="str">
        <f>T13&amp;" ft."&amp;IF(U13+V13+W13+X13=0,"",", ")&amp;IF(ISBLANK(U13),"","burrow "&amp;U13&amp;" ft."&amp;IF(V13+W13+X13=0,"",", "))&amp;IF(ISBLANK(V13),"","climb "&amp;V13&amp;" ft."&amp;IF(W13+X13=0,"",", "))&amp;IF(ISBLANK(W13),"","fly "&amp;W13&amp;" ft."&amp;IF(X13=0,"",", "))&amp;IF(ISBLANK(X13),"","swim "&amp;X13&amp;" ft.")</f>
        <v>40 ft.</v>
      </c>
      <c r="F13" s="3" t="str">
        <f>IF(ISBLANK(AT13),"",CHAR(13)&amp;CHAR(9)&amp;CHAR(9)&amp;"&lt;"&amp;AU13&amp;"&gt;"&amp;CHAR(13)&amp;CHAR(9)&amp;CHAR(9)&amp;CHAR(9)&amp;"&lt;name&gt;"&amp;AT13&amp;"&lt;/name&gt;"&amp;CHAR(13)&amp;CHAR(9)&amp;CHAR(9)&amp;CHAR(9)&amp;"&lt;text&gt;"&amp;AV13&amp;"&lt;/text&gt;"&amp;IF(ISBLANK(AX13),"",CHAR(13)&amp;CHAR(9)&amp;CHAR(9)&amp;CHAR(9)&amp;"&lt;attack&gt;"&amp;AX13&amp;"|"&amp;AY13&amp;"|"&amp;AZ13&amp;"&lt;/attack&gt;")&amp;CHAR(13)&amp;CHAR(9)&amp;CHAR(9)&amp;"&lt;/"&amp;AU13&amp;"&gt;")</f>
        <v>_x000D_		&lt;trait&gt;_x000D_			&lt;name&gt;Charge&lt;/name&gt;_x000D_			&lt;text&gt;If the boar moves at least 20 feet straight toward a target and then hits it with a tusk attack on the same turn, the target takes an extra 3 (1d6) slashing damage. If the target is a creature, it must succeed on a DC 11 Strength saving throw or be knocked prone.&lt;/text&gt;_x000D_		&lt;/trait&gt;</v>
      </c>
      <c r="G13" s="3" t="str">
        <f>IF(ISBLANK(BA13),"",CHAR(13)&amp;CHAR(9)&amp;CHAR(9)&amp;"&lt;"&amp;BB13&amp;"&gt;"&amp;CHAR(13)&amp;CHAR(9)&amp;CHAR(9)&amp;CHAR(9)&amp;"&lt;name&gt;"&amp;BA13&amp;"&lt;/name&gt;"&amp;CHAR(13)&amp;CHAR(9)&amp;CHAR(9)&amp;CHAR(9)&amp;"&lt;text&gt;"&amp;BC13&amp;"&lt;/text&gt;"&amp;IF(ISBLANK(BE13),"",CHAR(13)&amp;CHAR(9)&amp;CHAR(9)&amp;CHAR(9)&amp;"&lt;attack&gt;"&amp;BE13&amp;"|"&amp;BF13&amp;"|"&amp;BG13&amp;"&lt;/attack&gt;")&amp;CHAR(13)&amp;CHAR(9)&amp;CHAR(9)&amp;"&lt;/"&amp;BB13&amp;"&gt;")</f>
        <v>_x000D_		&lt;trait&gt;_x000D_			&lt;name&gt;Relentless (Recharges after a Short or Long Rest)&lt;/name&gt;_x000D_			&lt;text&gt;If the boar takes 7 damage or less that would reduce it to 0 hit points, it is reduced to 1 hit point instead.&lt;/text&gt;_x000D_		&lt;/trait&gt;</v>
      </c>
      <c r="H13" s="3" t="str">
        <f>IF(ISBLANK(BH13),"",CHAR(13)&amp;CHAR(9)&amp;CHAR(9)&amp;"&lt;"&amp;BI13&amp;"&gt;"&amp;CHAR(13)&amp;CHAR(9)&amp;CHAR(9)&amp;CHAR(9)&amp;"&lt;name&gt;"&amp;BH13&amp;"&lt;/name&gt;"&amp;CHAR(13)&amp;CHAR(9)&amp;CHAR(9)&amp;CHAR(9)&amp;"&lt;text&gt;"&amp;BJ13&amp;"&lt;/text&gt;"&amp;IF(ISBLANK(BL13),"",CHAR(13)&amp;CHAR(9)&amp;CHAR(9)&amp;CHAR(9)&amp;"&lt;attack&gt;"&amp;BL13&amp;"|"&amp;BM13&amp;"|"&amp;BN13&amp;"&lt;/attack&gt;")&amp;CHAR(13)&amp;CHAR(9)&amp;CHAR(9)&amp;"&lt;/"&amp;BI13&amp;"&gt;")</f>
        <v>_x000D_		&lt;action&gt;_x000D_			&lt;name&gt;Tusk&lt;/name&gt;_x000D_			&lt;text&gt;Weapon Attack: +3 to hit, reach 5 ft., one target. Hit: 4 (1d6+1) slashing damage.&lt;/text&gt;_x000D_			&lt;attack&gt;Tusk|3|1d6+1&lt;/attack&gt;_x000D_		&lt;/action&gt;</v>
      </c>
      <c r="I13" s="3" t="str">
        <f>IF(ISBLANK(BO13),"",CHAR(13)&amp;CHAR(9)&amp;CHAR(9)&amp;"&lt;"&amp;BP13&amp;"&gt;"&amp;CHAR(13)&amp;CHAR(9)&amp;CHAR(9)&amp;CHAR(9)&amp;"&lt;name&gt;"&amp;BO13&amp;"&lt;/name&gt;"&amp;CHAR(13)&amp;CHAR(9)&amp;CHAR(9)&amp;CHAR(9)&amp;"&lt;text&gt;"&amp;BQ13&amp;"&lt;/text&gt;"&amp;IF(ISBLANK(BS13),"",CHAR(13)&amp;CHAR(9)&amp;CHAR(9)&amp;CHAR(9)&amp;"&lt;attack&gt;"&amp;BS13&amp;"|"&amp;BT13&amp;"|"&amp;BU13&amp;"&lt;/attack&gt;")&amp;CHAR(13)&amp;CHAR(9)&amp;CHAR(9)&amp;"&lt;/"&amp;BP13&amp;"&gt;")</f>
        <v/>
      </c>
      <c r="J13" s="3" t="str">
        <f>IF(ISBLANK(BV13),"",CHAR(13)&amp;CHAR(9)&amp;CHAR(9)&amp;"&lt;"&amp;BW13&amp;"&gt;"&amp;CHAR(13)&amp;CHAR(9)&amp;CHAR(9)&amp;CHAR(9)&amp;"&lt;name&gt;"&amp;BV13&amp;"&lt;/name&gt;"&amp;CHAR(13)&amp;CHAR(9)&amp;CHAR(9)&amp;CHAR(9)&amp;"&lt;text&gt;"&amp;BX13&amp;"&lt;/text&gt;"&amp;IF(ISBLANK(BZ13),"",CHAR(13)&amp;CHAR(9)&amp;CHAR(9)&amp;CHAR(9)&amp;"&lt;attack&gt;"&amp;BZ13&amp;"|"&amp;CA13&amp;"|"&amp;CB13&amp;"&lt;/attack&gt;")&amp;CHAR(13)&amp;CHAR(9)&amp;CHAR(9)&amp;"&lt;/"&amp;BW13&amp;"&gt;")</f>
        <v/>
      </c>
      <c r="K13" s="3" t="str">
        <f>IF(ISBLANK(CC13),"",CHAR(13)&amp;CHAR(9)&amp;CHAR(9)&amp;"&lt;"&amp;CD13&amp;"&gt;"&amp;CHAR(13)&amp;CHAR(9)&amp;CHAR(9)&amp;CHAR(9)&amp;"&lt;name&gt;"&amp;CC13&amp;"&lt;/name&gt;"&amp;CHAR(13)&amp;CHAR(9)&amp;CHAR(9)&amp;CHAR(9)&amp;"&lt;text&gt;"&amp;CE13&amp;"&lt;/text&gt;"&amp;IF(ISBLANK(CG13),"",CHAR(13)&amp;CHAR(9)&amp;CHAR(9)&amp;CHAR(9)&amp;"&lt;attack&gt;"&amp;CG13&amp;"|"&amp;CH13&amp;"|"&amp;CI13&amp;"&lt;/attack&gt;")&amp;CHAR(13)&amp;CHAR(9)&amp;CHAR(9)&amp;"&lt;/"&amp;CD13&amp;"&gt;")</f>
        <v/>
      </c>
      <c r="L13" s="1" t="s">
        <v>35</v>
      </c>
      <c r="M13" s="1" t="s">
        <v>275</v>
      </c>
      <c r="N13" s="1">
        <f>DruidAlignment</f>
        <v>0</v>
      </c>
      <c r="O13" s="2" t="s">
        <v>208</v>
      </c>
      <c r="P13" s="1" t="s">
        <v>17</v>
      </c>
      <c r="Q13" s="1">
        <v>11</v>
      </c>
      <c r="R13" s="1" t="s">
        <v>405</v>
      </c>
      <c r="S13" s="1">
        <v>11</v>
      </c>
      <c r="T13" s="1">
        <v>40</v>
      </c>
      <c r="Y13" s="1">
        <v>13</v>
      </c>
      <c r="Z13" s="1">
        <v>11</v>
      </c>
      <c r="AA13" s="1">
        <v>12</v>
      </c>
      <c r="AB13" s="10">
        <f>DruidInt</f>
        <v>0</v>
      </c>
      <c r="AC13" s="10">
        <f>DruidWis</f>
        <v>0</v>
      </c>
      <c r="AD13" s="10">
        <f>DruidCha</f>
        <v>0</v>
      </c>
      <c r="AE13" s="12"/>
      <c r="AF13" s="12"/>
      <c r="AG13" s="12"/>
      <c r="AH13" s="12" t="s">
        <v>173</v>
      </c>
      <c r="AI13" s="12" t="str">
        <f>IF(ISBLANK(DruidAcrobatics),"",", Acrobatics +"&amp;DruidAcrobatics)&amp;IF(ISBLANK(DruidAnimalHandling),"",", Animal Handling +"&amp;DruidAnimalHandling)&amp;IF(ISBLANK(DruidArcana),"",", Arcana +"&amp;DruidArcana)&amp;IF(DruidAthletics+AE13=0,"",", Athletics +"&amp;MAX(DruidAthletics,AE13))&amp;IF(ISBLANK(DruidDeception),"",",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+"&amp;DruidNature)&amp;IF(DruidPerception+AF13=0,"",", Perception +"&amp;MAX(DruidPerception,AF13))&amp;IF(ISBLANK(DruidPerformance),"",", Performance +"&amp;DruidPerformance)&amp;IF(ISBLANK(DruidPersuasion),"",", Persuasion +"&amp;DruidPersuasion)&amp;IF(ISBLANK(DruidReligion),"",", Religion +"&amp;DruidReligion)&amp;IF(ISBLANK(DruidSleightofHand),"",", Sleight of Hand +"&amp;DruidSleightofHand)&amp;IF(DruidStealth+AG13=0,"",", Stealth +"&amp;MAX(DruidStealth,AG13))&amp;IF(ISBLANK(DruidSurvival),"",", Survival +"&amp;DruidSurvival)</f>
        <v/>
      </c>
      <c r="AJ13" s="1" t="e">
        <f>RIGHT(AI13,LEN(AI13)-2)</f>
        <v>#VALUE!</v>
      </c>
      <c r="AK1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3" s="1" t="s">
        <v>173</v>
      </c>
      <c r="AN13" s="3">
        <f>IF(DruidPerception+AF13=0,10+(ROUNDDOWN((AC13-10)/2,0)),10+MAX(DruidPerception,AF13))</f>
        <v>5</v>
      </c>
      <c r="AT13" s="3" t="s">
        <v>38</v>
      </c>
      <c r="AU13" s="3" t="s">
        <v>148</v>
      </c>
      <c r="AV13" s="3" t="s">
        <v>223</v>
      </c>
      <c r="AW13" s="3" t="s">
        <v>173</v>
      </c>
      <c r="AZ13" s="3"/>
      <c r="BA13" s="3" t="s">
        <v>224</v>
      </c>
      <c r="BB13" s="3" t="s">
        <v>148</v>
      </c>
      <c r="BC13" s="3" t="s">
        <v>225</v>
      </c>
      <c r="BD13" s="3" t="s">
        <v>173</v>
      </c>
      <c r="BG13" s="3"/>
      <c r="BH13" s="3" t="s">
        <v>226</v>
      </c>
      <c r="BI13" s="3" t="s">
        <v>150</v>
      </c>
      <c r="BJ13" s="3" t="s">
        <v>439</v>
      </c>
      <c r="BK13" s="3" t="s">
        <v>173</v>
      </c>
      <c r="BL13" s="3" t="s">
        <v>226</v>
      </c>
      <c r="BM13" s="3">
        <v>3</v>
      </c>
      <c r="BN13" s="3" t="s">
        <v>227</v>
      </c>
      <c r="BR13" s="3" t="s">
        <v>173</v>
      </c>
      <c r="BY13" s="3" t="s">
        <v>173</v>
      </c>
      <c r="CJ13" s="6">
        <v>0.25</v>
      </c>
      <c r="CK13" s="6">
        <f>IF(CJ13&lt;0.26,2,IF(CJ13&lt;0.51,4,IF(CJ13&lt;1.1,8,99)))</f>
        <v>2</v>
      </c>
      <c r="CL13" s="3">
        <f>IF(M13="Elemental",10,IF(CJ13&lt;2,2,CJ13*3))</f>
        <v>2</v>
      </c>
      <c r="CM13" s="3">
        <f>IF(W13&gt;0,8,0)</f>
        <v>0</v>
      </c>
      <c r="CN13" s="3">
        <f>IF(X13&gt;0,4,0)</f>
        <v>0</v>
      </c>
    </row>
    <row r="14" spans="1:93">
      <c r="A14" s="3" t="str">
        <f>IF(DruidLevel&lt;B14,"",CHAR(9)&amp;"&lt;monster&gt;"&amp;CHAR(13)&amp;CHAR(9)&amp;CHAR(9)&amp;"&lt;name&gt;"&amp;L14&amp;" (Wild Shape)&lt;/name&gt;"&amp;CHAR(13)&amp;CHAR(9)&amp;CHAR(9)&amp;"&lt;size&gt;"&amp;LEFT(P14,1)&amp;"&lt;/size&gt;"&amp;CHAR(13)&amp;CHAR(9)&amp;CHAR(9)&amp;"&lt;type&gt;"&amp;M14&amp;"&lt;/type&gt;"&amp;CHAR(13)&amp;CHAR(9)&amp;CHAR(9)&amp;"&lt;alignment&gt;"&amp;N14&amp;"&lt;/alignment&gt;"&amp;CHAR(13)&amp;CHAR(9)&amp;CHAR(9)&amp;"&lt;ac&gt;"&amp;Q14&amp;IF(ISBLANK(R14),""," ("&amp;R14&amp;")")&amp;"&lt;/ac&gt;"&amp;CHAR(13)&amp;CHAR(9)&amp;CHAR(9)&amp;"&lt;hp&gt;"&amp;S14&amp;"&lt;/hp&gt;"&amp;CHAR(13)&amp;CHAR(9)&amp;CHAR(9)&amp;"&lt;speed&gt;"&amp;E14&amp;"&lt;/speed&gt;"&amp;CHAR(13)&amp;CHAR(9)&amp;CHAR(9)&amp;"&lt;str&gt;"&amp;Y14&amp;"&lt;/str&gt;&lt;dex&gt;"&amp;Z14&amp;"&lt;/dex&gt;&lt;con&gt;"&amp;AA14&amp;"&lt;/con&gt;&lt;int&gt;"&amp;AB14&amp;"&lt;/int&gt;&lt;wis&gt;"&amp;AC14&amp;"&lt;/wis&gt;&lt;cha&gt;"&amp;AD14&amp;"&lt;/cha&gt;"&amp;CHAR(13)&amp;CHAR(9)&amp;CHAR(9)&amp;"&lt;save&gt;"&amp;AK14&amp;"&lt;/save&gt;"&amp;CHAR(13)&amp;CHAR(9)&amp;CHAR(9)&amp;"&lt;skill&gt;"&amp;AJ14&amp;"&lt;/skill&gt;"&amp;CHAR(13)&amp;CHAR(9)&amp;CHAR(9)&amp;"&lt;vulnerable&gt;"&amp;AO14&amp;"&lt;/vulnerable&gt;"&amp;CHAR(13)&amp;CHAR(9)&amp;CHAR(9)&amp;"&lt;resist&gt;"&amp;AP14&amp;"&lt;/resist&gt;"&amp;CHAR(13)&amp;CHAR(9)&amp;CHAR(9)&amp;"&lt;immune&gt;"&amp;AQ14&amp;"&lt;/immune&gt;"&amp;CHAR(13)&amp;CHAR(9)&amp;CHAR(9)&amp;"&lt;conditionImmune&gt;"&amp;AR14&amp;"&lt;/conditionImmune&gt;"&amp;CHAR(13)&amp;CHAR(9)&amp;CHAR(9)&amp;"&lt;senses&gt;"&amp;AM14&amp;"&lt;/senses&gt;"&amp;CHAR(13)&amp;CHAR(9)&amp;CHAR(9)&amp;"&lt;passive&gt;"&amp;AN14&amp;"&lt;/passive&gt;"&amp;CHAR(13)&amp;CHAR(9)&amp;CHAR(9)&amp;"&lt;languages&gt;"&amp;AS14&amp;"&lt;/languages&gt;"&amp;CHAR(13)&amp;CHAR(9)&amp;CHAR(9)&amp;"&lt;cr&gt;"&amp;O14&amp;"&lt;/cr&gt;"&amp;F14&amp;G14&amp;H14&amp;I14&amp;J14&amp;K14&amp;IF(C14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4" s="3">
        <f>IF(COTM=TRUE,MAX(CL14,CM14,CN14),MAX(CK14,CM14,CN14))</f>
        <v>8</v>
      </c>
      <c r="C14" s="11" t="str">
        <f>IF(COTM=FALSE,"",IF(DruidLevel&gt;5,"Y",""))</f>
        <v/>
      </c>
      <c r="D14" s="3" t="s">
        <v>173</v>
      </c>
      <c r="E14" s="3" t="str">
        <f>T14&amp;" ft."&amp;IF(U14+V14+W14+X14=0,"",", ")&amp;IF(ISBLANK(U14),"","burrow "&amp;U14&amp;" ft."&amp;IF(V14+W14+X14=0,"",", "))&amp;IF(ISBLANK(V14),"","climb "&amp;V14&amp;" ft."&amp;IF(W14+X14=0,"",", "))&amp;IF(ISBLANK(W14),"","fly "&amp;W14&amp;" ft."&amp;IF(X14=0,"",", "))&amp;IF(ISBLANK(X14),"","swim "&amp;X14&amp;" ft.")</f>
        <v>40 ft., climb 30 ft.</v>
      </c>
      <c r="F14" s="3" t="str">
        <f>IF(ISBLANK(AT14),"",CHAR(13)&amp;CHAR(9)&amp;CHAR(9)&amp;"&lt;"&amp;AU14&amp;"&gt;"&amp;CHAR(13)&amp;CHAR(9)&amp;CHAR(9)&amp;CHAR(9)&amp;"&lt;name&gt;"&amp;AT14&amp;"&lt;/name&gt;"&amp;CHAR(13)&amp;CHAR(9)&amp;CHAR(9)&amp;CHAR(9)&amp;"&lt;text&gt;"&amp;AV14&amp;"&lt;/text&gt;"&amp;IF(ISBLANK(AX14),"",CHAR(13)&amp;CHAR(9)&amp;CHAR(9)&amp;CHAR(9)&amp;"&lt;attack&gt;"&amp;AX14&amp;"|"&amp;AY14&amp;"|"&amp;AZ14&amp;"&lt;/attack&gt;")&amp;CHAR(13)&amp;CHAR(9)&amp;CHAR(9)&amp;"&lt;/"&amp;AU14&amp;"&gt;")</f>
        <v>_x000D_		&lt;trait&gt;_x000D_			&lt;name&gt;Keen Smell&lt;/name&gt;_x000D_			&lt;text&gt;The bear has advantage on Wisdom (Perception) checks that rely on smell.&lt;/text&gt;_x000D_		&lt;/trait&gt;</v>
      </c>
      <c r="G14" s="3" t="str">
        <f>IF(ISBLANK(BA14),"",CHAR(13)&amp;CHAR(9)&amp;CHAR(9)&amp;"&lt;"&amp;BB14&amp;"&gt;"&amp;CHAR(13)&amp;CHAR(9)&amp;CHAR(9)&amp;CHAR(9)&amp;"&lt;name&gt;"&amp;BA14&amp;"&lt;/name&gt;"&amp;CHAR(13)&amp;CHAR(9)&amp;CHAR(9)&amp;CHAR(9)&amp;"&lt;text&gt;"&amp;BC14&amp;"&lt;/text&gt;"&amp;IF(ISBLANK(BE14),"",CHAR(13)&amp;CHAR(9)&amp;CHAR(9)&amp;CHAR(9)&amp;"&lt;attack&gt;"&amp;BE14&amp;"|"&amp;BF14&amp;"|"&amp;BG14&amp;"&lt;/attack&gt;")&amp;CHAR(13)&amp;CHAR(9)&amp;CHAR(9)&amp;"&lt;/"&amp;BB14&amp;"&gt;")</f>
        <v>_x000D_		&lt;action&gt;_x000D_			&lt;name&gt;Multiattack&lt;/name&gt;_x000D_			&lt;text&gt;The bear makes two attacks: one with its bite and one with its claws.&lt;/text&gt;_x000D_		&lt;/action&gt;</v>
      </c>
      <c r="H14" s="3" t="str">
        <f>IF(ISBLANK(BH14),"",CHAR(13)&amp;CHAR(9)&amp;CHAR(9)&amp;"&lt;"&amp;BI14&amp;"&gt;"&amp;CHAR(13)&amp;CHAR(9)&amp;CHAR(9)&amp;CHAR(9)&amp;"&lt;name&gt;"&amp;BH14&amp;"&lt;/name&gt;"&amp;CHAR(13)&amp;CHAR(9)&amp;CHAR(9)&amp;CHAR(9)&amp;"&lt;text&gt;"&amp;BJ14&amp;"&lt;/text&gt;"&amp;IF(ISBLANK(BL14),"",CHAR(13)&amp;CHAR(9)&amp;CHAR(9)&amp;CHAR(9)&amp;"&lt;attack&gt;"&amp;BL14&amp;"|"&amp;BM14&amp;"|"&amp;BN14&amp;"&lt;/attack&gt;")&amp;CHAR(13)&amp;CHAR(9)&amp;CHAR(9)&amp;"&lt;/"&amp;BI14&amp;"&gt;")</f>
        <v>_x000D_		&lt;action&gt;_x000D_			&lt;name&gt;Bite&lt;/name&gt;_x000D_			&lt;text&gt;Weapon Attack: +5 to hit, reach 5 ft., one target. Hit: 8 (1d8+4) piercing damage.&lt;/text&gt;_x000D_			&lt;attack&gt;Bite|5|1d8+4&lt;/attack&gt;_x000D_		&lt;/action&gt;</v>
      </c>
      <c r="I14" s="3" t="str">
        <f>IF(ISBLANK(BO14),"",CHAR(13)&amp;CHAR(9)&amp;CHAR(9)&amp;"&lt;"&amp;BP14&amp;"&gt;"&amp;CHAR(13)&amp;CHAR(9)&amp;CHAR(9)&amp;CHAR(9)&amp;"&lt;name&gt;"&amp;BO14&amp;"&lt;/name&gt;"&amp;CHAR(13)&amp;CHAR(9)&amp;CHAR(9)&amp;CHAR(9)&amp;"&lt;text&gt;"&amp;BQ14&amp;"&lt;/text&gt;"&amp;IF(ISBLANK(BS14),"",CHAR(13)&amp;CHAR(9)&amp;CHAR(9)&amp;CHAR(9)&amp;"&lt;attack&gt;"&amp;BS14&amp;"|"&amp;BT14&amp;"|"&amp;BU14&amp;"&lt;/attack&gt;")&amp;CHAR(13)&amp;CHAR(9)&amp;CHAR(9)&amp;"&lt;/"&amp;BP14&amp;"&gt;")</f>
        <v>_x000D_		&lt;action&gt;_x000D_			&lt;name&gt;Claws&lt;/name&gt;_x000D_			&lt;text&gt;Melee Weapon Attack: +5 to hit, reach 5 ft., one target. Hit: 11 (2d6+4) slashing damage.&lt;/text&gt;_x000D_			&lt;attack&gt;Claws|5|2d6+4&lt;/attack&gt;_x000D_		&lt;/action&gt;</v>
      </c>
      <c r="J14" s="3" t="str">
        <f>IF(ISBLANK(BV14),"",CHAR(13)&amp;CHAR(9)&amp;CHAR(9)&amp;"&lt;"&amp;BW14&amp;"&gt;"&amp;CHAR(13)&amp;CHAR(9)&amp;CHAR(9)&amp;CHAR(9)&amp;"&lt;name&gt;"&amp;BV14&amp;"&lt;/name&gt;"&amp;CHAR(13)&amp;CHAR(9)&amp;CHAR(9)&amp;CHAR(9)&amp;"&lt;text&gt;"&amp;BX14&amp;"&lt;/text&gt;"&amp;IF(ISBLANK(BZ14),"",CHAR(13)&amp;CHAR(9)&amp;CHAR(9)&amp;CHAR(9)&amp;"&lt;attack&gt;"&amp;BZ14&amp;"|"&amp;CA14&amp;"|"&amp;CB14&amp;"&lt;/attack&gt;")&amp;CHAR(13)&amp;CHAR(9)&amp;CHAR(9)&amp;"&lt;/"&amp;BW14&amp;"&gt;")</f>
        <v/>
      </c>
      <c r="K14" s="3" t="str">
        <f>IF(ISBLANK(CC14),"",CHAR(13)&amp;CHAR(9)&amp;CHAR(9)&amp;"&lt;"&amp;CD14&amp;"&gt;"&amp;CHAR(13)&amp;CHAR(9)&amp;CHAR(9)&amp;CHAR(9)&amp;"&lt;name&gt;"&amp;CC14&amp;"&lt;/name&gt;"&amp;CHAR(13)&amp;CHAR(9)&amp;CHAR(9)&amp;CHAR(9)&amp;"&lt;text&gt;"&amp;CE14&amp;"&lt;/text&gt;"&amp;IF(ISBLANK(CG14),"",CHAR(13)&amp;CHAR(9)&amp;CHAR(9)&amp;CHAR(9)&amp;"&lt;attack&gt;"&amp;CG14&amp;"|"&amp;CH14&amp;"|"&amp;CI14&amp;"&lt;/attack&gt;")&amp;CHAR(13)&amp;CHAR(9)&amp;CHAR(9)&amp;"&lt;/"&amp;CD14&amp;"&gt;")</f>
        <v/>
      </c>
      <c r="L14" s="1" t="s">
        <v>50</v>
      </c>
      <c r="M14" s="1" t="s">
        <v>275</v>
      </c>
      <c r="N14" s="1">
        <f>DruidAlignment</f>
        <v>0</v>
      </c>
      <c r="O14" s="2">
        <v>1</v>
      </c>
      <c r="P14" s="1" t="s">
        <v>2</v>
      </c>
      <c r="Q14" s="1">
        <v>11</v>
      </c>
      <c r="R14" s="1" t="s">
        <v>405</v>
      </c>
      <c r="S14" s="1">
        <v>34</v>
      </c>
      <c r="T14" s="1">
        <v>40</v>
      </c>
      <c r="V14" s="1">
        <v>30</v>
      </c>
      <c r="Y14" s="1">
        <v>19</v>
      </c>
      <c r="Z14" s="1">
        <v>10</v>
      </c>
      <c r="AA14" s="1">
        <v>16</v>
      </c>
      <c r="AB14" s="10">
        <f>DruidInt</f>
        <v>0</v>
      </c>
      <c r="AC14" s="10">
        <f>DruidWis</f>
        <v>0</v>
      </c>
      <c r="AD14" s="10">
        <f>DruidCha</f>
        <v>0</v>
      </c>
      <c r="AE14" s="12"/>
      <c r="AF14" s="12"/>
      <c r="AG14" s="12"/>
      <c r="AH14" s="12" t="s">
        <v>173</v>
      </c>
      <c r="AI14" s="12" t="str">
        <f>IF(ISBLANK(DruidAcrobatics),"",", Acrobatics +"&amp;DruidAcrobatics)&amp;IF(ISBLANK(DruidAnimalHandling),"",", Animal Handling +"&amp;DruidAnimalHandling)&amp;IF(ISBLANK(DruidArcana),"",", Arcana +"&amp;DruidArcana)&amp;IF(DruidAthletics+AE14=0,"",", Athletics +"&amp;MAX(DruidAthletics,AE14))&amp;IF(ISBLANK(DruidDeception),"",",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+"&amp;DruidNature)&amp;IF(DruidPerception+AF14=0,"",", Perception +"&amp;MAX(DruidPerception,AF14))&amp;IF(ISBLANK(DruidPerformance),"",", Performance +"&amp;DruidPerformance)&amp;IF(ISBLANK(DruidPersuasion),"",", Persuasion +"&amp;DruidPersuasion)&amp;IF(ISBLANK(DruidReligion),"",", Religion +"&amp;DruidReligion)&amp;IF(ISBLANK(DruidSleightofHand),"",", Sleight of Hand +"&amp;DruidSleightofHand)&amp;IF(DruidStealth+AG14=0,"",", Stealth +"&amp;MAX(DruidStealth,AG14))&amp;IF(ISBLANK(DruidSurvival),"",", Survival +"&amp;DruidSurvival)</f>
        <v/>
      </c>
      <c r="AJ14" s="1" t="e">
        <f>RIGHT(AI14,LEN(AI14)-2)</f>
        <v>#VALUE!</v>
      </c>
      <c r="AK1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4" s="1" t="s">
        <v>173</v>
      </c>
      <c r="AN14" s="3">
        <f>IF(DruidPerception+AF14=0,10+(ROUNDDOWN((AC14-10)/2,0)),10+MAX(DruidPerception,AF14))</f>
        <v>5</v>
      </c>
      <c r="AT14" s="3" t="s">
        <v>14</v>
      </c>
      <c r="AU14" s="3" t="s">
        <v>148</v>
      </c>
      <c r="AV14" s="3" t="s">
        <v>217</v>
      </c>
      <c r="AW14" s="3" t="s">
        <v>173</v>
      </c>
      <c r="AZ14" s="3"/>
      <c r="BA14" s="3" t="s">
        <v>149</v>
      </c>
      <c r="BB14" s="3" t="s">
        <v>150</v>
      </c>
      <c r="BC14" s="3" t="s">
        <v>218</v>
      </c>
      <c r="BD14" s="3" t="s">
        <v>173</v>
      </c>
      <c r="BG14" s="3"/>
      <c r="BH14" s="3" t="s">
        <v>161</v>
      </c>
      <c r="BI14" s="3" t="s">
        <v>150</v>
      </c>
      <c r="BJ14" s="3" t="s">
        <v>440</v>
      </c>
      <c r="BK14" s="3" t="s">
        <v>173</v>
      </c>
      <c r="BL14" s="3" t="s">
        <v>161</v>
      </c>
      <c r="BM14" s="3">
        <v>5</v>
      </c>
      <c r="BN14" s="3" t="s">
        <v>166</v>
      </c>
      <c r="BO14" s="3" t="s">
        <v>220</v>
      </c>
      <c r="BP14" s="3" t="s">
        <v>150</v>
      </c>
      <c r="BQ14" s="3" t="s">
        <v>441</v>
      </c>
      <c r="BR14" s="3" t="s">
        <v>173</v>
      </c>
      <c r="BS14" s="3" t="s">
        <v>220</v>
      </c>
      <c r="BT14" s="3">
        <v>5</v>
      </c>
      <c r="BU14" s="3" t="s">
        <v>228</v>
      </c>
      <c r="BY14" s="3" t="s">
        <v>173</v>
      </c>
      <c r="CJ14" s="6">
        <v>1</v>
      </c>
      <c r="CK14" s="6">
        <f>IF(CJ14&lt;0.26,2,IF(CJ14&lt;0.51,4,IF(CJ14&lt;1.1,8,99)))</f>
        <v>8</v>
      </c>
      <c r="CL14" s="3">
        <f>IF(M14="Elemental",10,IF(CJ14&lt;2,2,CJ14*3))</f>
        <v>2</v>
      </c>
      <c r="CM14" s="3">
        <f>IF(W14&gt;0,8,0)</f>
        <v>0</v>
      </c>
      <c r="CN14" s="3">
        <f>IF(X14&gt;0,4,0)</f>
        <v>0</v>
      </c>
    </row>
    <row r="15" spans="1:93">
      <c r="A15" s="3" t="str">
        <f>IF(DruidLevel&lt;B15,"",CHAR(9)&amp;"&lt;monster&gt;"&amp;CHAR(13)&amp;CHAR(9)&amp;CHAR(9)&amp;"&lt;name&gt;"&amp;L15&amp;" (Wild Shape)&lt;/name&gt;"&amp;CHAR(13)&amp;CHAR(9)&amp;CHAR(9)&amp;"&lt;size&gt;"&amp;LEFT(P15,1)&amp;"&lt;/size&gt;"&amp;CHAR(13)&amp;CHAR(9)&amp;CHAR(9)&amp;"&lt;type&gt;"&amp;M15&amp;"&lt;/type&gt;"&amp;CHAR(13)&amp;CHAR(9)&amp;CHAR(9)&amp;"&lt;alignment&gt;"&amp;N15&amp;"&lt;/alignment&gt;"&amp;CHAR(13)&amp;CHAR(9)&amp;CHAR(9)&amp;"&lt;ac&gt;"&amp;Q15&amp;IF(ISBLANK(R15),""," ("&amp;R15&amp;")")&amp;"&lt;/ac&gt;"&amp;CHAR(13)&amp;CHAR(9)&amp;CHAR(9)&amp;"&lt;hp&gt;"&amp;S15&amp;"&lt;/hp&gt;"&amp;CHAR(13)&amp;CHAR(9)&amp;CHAR(9)&amp;"&lt;speed&gt;"&amp;E15&amp;"&lt;/speed&gt;"&amp;CHAR(13)&amp;CHAR(9)&amp;CHAR(9)&amp;"&lt;str&gt;"&amp;Y15&amp;"&lt;/str&gt;&lt;dex&gt;"&amp;Z15&amp;"&lt;/dex&gt;&lt;con&gt;"&amp;AA15&amp;"&lt;/con&gt;&lt;int&gt;"&amp;AB15&amp;"&lt;/int&gt;&lt;wis&gt;"&amp;AC15&amp;"&lt;/wis&gt;&lt;cha&gt;"&amp;AD15&amp;"&lt;/cha&gt;"&amp;CHAR(13)&amp;CHAR(9)&amp;CHAR(9)&amp;"&lt;save&gt;"&amp;AK15&amp;"&lt;/save&gt;"&amp;CHAR(13)&amp;CHAR(9)&amp;CHAR(9)&amp;"&lt;skill&gt;"&amp;AJ15&amp;"&lt;/skill&gt;"&amp;CHAR(13)&amp;CHAR(9)&amp;CHAR(9)&amp;"&lt;vulnerable&gt;"&amp;AO15&amp;"&lt;/vulnerable&gt;"&amp;CHAR(13)&amp;CHAR(9)&amp;CHAR(9)&amp;"&lt;resist&gt;"&amp;AP15&amp;"&lt;/resist&gt;"&amp;CHAR(13)&amp;CHAR(9)&amp;CHAR(9)&amp;"&lt;immune&gt;"&amp;AQ15&amp;"&lt;/immune&gt;"&amp;CHAR(13)&amp;CHAR(9)&amp;CHAR(9)&amp;"&lt;conditionImmune&gt;"&amp;AR15&amp;"&lt;/conditionImmune&gt;"&amp;CHAR(13)&amp;CHAR(9)&amp;CHAR(9)&amp;"&lt;senses&gt;"&amp;AM15&amp;"&lt;/senses&gt;"&amp;CHAR(13)&amp;CHAR(9)&amp;CHAR(9)&amp;"&lt;passive&gt;"&amp;AN15&amp;"&lt;/passive&gt;"&amp;CHAR(13)&amp;CHAR(9)&amp;CHAR(9)&amp;"&lt;languages&gt;"&amp;AS15&amp;"&lt;/languages&gt;"&amp;CHAR(13)&amp;CHAR(9)&amp;CHAR(9)&amp;"&lt;cr&gt;"&amp;O15&amp;"&lt;/cr&gt;"&amp;F15&amp;G15&amp;H15&amp;I15&amp;J15&amp;K15&amp;IF(C15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5" s="3">
        <f>IF(COTM=TRUE,MAX(CL15,CM15,CN15),MAX(CK15,CM15,CN15))</f>
        <v>2</v>
      </c>
      <c r="C15" s="11" t="str">
        <f>IF(COTM=FALSE,"",IF(DruidLevel&gt;5,"Y",""))</f>
        <v/>
      </c>
      <c r="D15" s="3" t="s">
        <v>173</v>
      </c>
      <c r="E15" s="3" t="str">
        <f>T15&amp;" ft."&amp;IF(U15+V15+W15+X15=0,"",", ")&amp;IF(ISBLANK(U15),"","burrow "&amp;U15&amp;" ft."&amp;IF(V15+W15+X15=0,"",", "))&amp;IF(ISBLANK(V15),"","climb "&amp;V15&amp;" ft."&amp;IF(W15+X15=0,"",", "))&amp;IF(ISBLANK(W15),"","fly "&amp;W15&amp;" ft."&amp;IF(X15=0,"",", "))&amp;IF(ISBLANK(X15),"","swim "&amp;X15&amp;" ft.")</f>
        <v>50 ft.</v>
      </c>
      <c r="F15" s="3" t="str">
        <f>IF(ISBLANK(AT15),"",CHAR(13)&amp;CHAR(9)&amp;CHAR(9)&amp;"&lt;"&amp;AU15&amp;"&gt;"&amp;CHAR(13)&amp;CHAR(9)&amp;CHAR(9)&amp;CHAR(9)&amp;"&lt;name&gt;"&amp;AT15&amp;"&lt;/name&gt;"&amp;CHAR(13)&amp;CHAR(9)&amp;CHAR(9)&amp;CHAR(9)&amp;"&lt;text&gt;"&amp;AV15&amp;"&lt;/text&gt;"&amp;IF(ISBLANK(AX15),"",CHAR(13)&amp;CHAR(9)&amp;CHAR(9)&amp;CHAR(9)&amp;"&lt;attack&gt;"&amp;AX15&amp;"|"&amp;AY15&amp;"|"&amp;AZ15&amp;"&lt;/attack&gt;")&amp;CHAR(13)&amp;CHAR(9)&amp;CHAR(9)&amp;"&lt;/"&amp;AU15&amp;"&gt;")</f>
        <v>_x000D_		&lt;action&gt;_x000D_			&lt;name&gt;Bite&lt;/name&gt;_x000D_			&lt;text&gt;Melee Weapon Attack: +5 to hit, reach 5 ft., one target. Hit: 2 (1d4) bludgeoning damage.&lt;/text&gt;_x000D_			&lt;attack&gt;Bite|5|1d4&lt;/attack&gt;_x000D_		&lt;/action&gt;</v>
      </c>
      <c r="G15" s="3" t="str">
        <f>IF(ISBLANK(BA15),"",CHAR(13)&amp;CHAR(9)&amp;CHAR(9)&amp;"&lt;"&amp;BB15&amp;"&gt;"&amp;CHAR(13)&amp;CHAR(9)&amp;CHAR(9)&amp;CHAR(9)&amp;"&lt;name&gt;"&amp;BA15&amp;"&lt;/name&gt;"&amp;CHAR(13)&amp;CHAR(9)&amp;CHAR(9)&amp;CHAR(9)&amp;"&lt;text&gt;"&amp;BC15&amp;"&lt;/text&gt;"&amp;IF(ISBLANK(BE15),"",CHAR(13)&amp;CHAR(9)&amp;CHAR(9)&amp;CHAR(9)&amp;"&lt;attack&gt;"&amp;BE15&amp;"|"&amp;BF15&amp;"|"&amp;BG15&amp;"&lt;/attack&gt;")&amp;CHAR(13)&amp;CHAR(9)&amp;CHAR(9)&amp;"&lt;/"&amp;BB15&amp;"&gt;")</f>
        <v/>
      </c>
      <c r="H15" s="3" t="str">
        <f>IF(ISBLANK(BH15),"",CHAR(13)&amp;CHAR(9)&amp;CHAR(9)&amp;"&lt;"&amp;BI15&amp;"&gt;"&amp;CHAR(13)&amp;CHAR(9)&amp;CHAR(9)&amp;CHAR(9)&amp;"&lt;name&gt;"&amp;BH15&amp;"&lt;/name&gt;"&amp;CHAR(13)&amp;CHAR(9)&amp;CHAR(9)&amp;CHAR(9)&amp;"&lt;text&gt;"&amp;BJ15&amp;"&lt;/text&gt;"&amp;IF(ISBLANK(BL15),"",CHAR(13)&amp;CHAR(9)&amp;CHAR(9)&amp;CHAR(9)&amp;"&lt;attack&gt;"&amp;BL15&amp;"|"&amp;BM15&amp;"|"&amp;BN15&amp;"&lt;/attack&gt;")&amp;CHAR(13)&amp;CHAR(9)&amp;CHAR(9)&amp;"&lt;/"&amp;BI15&amp;"&gt;")</f>
        <v/>
      </c>
      <c r="I15" s="3" t="str">
        <f>IF(ISBLANK(BO15),"",CHAR(13)&amp;CHAR(9)&amp;CHAR(9)&amp;"&lt;"&amp;BP15&amp;"&gt;"&amp;CHAR(13)&amp;CHAR(9)&amp;CHAR(9)&amp;CHAR(9)&amp;"&lt;name&gt;"&amp;BO15&amp;"&lt;/name&gt;"&amp;CHAR(13)&amp;CHAR(9)&amp;CHAR(9)&amp;CHAR(9)&amp;"&lt;text&gt;"&amp;BQ15&amp;"&lt;/text&gt;"&amp;IF(ISBLANK(BS15),"",CHAR(13)&amp;CHAR(9)&amp;CHAR(9)&amp;CHAR(9)&amp;"&lt;attack&gt;"&amp;BS15&amp;"|"&amp;BT15&amp;"|"&amp;BU15&amp;"&lt;/attack&gt;")&amp;CHAR(13)&amp;CHAR(9)&amp;CHAR(9)&amp;"&lt;/"&amp;BP15&amp;"&gt;")</f>
        <v/>
      </c>
      <c r="J15" s="3" t="str">
        <f>IF(ISBLANK(BV15),"",CHAR(13)&amp;CHAR(9)&amp;CHAR(9)&amp;"&lt;"&amp;BW15&amp;"&gt;"&amp;CHAR(13)&amp;CHAR(9)&amp;CHAR(9)&amp;CHAR(9)&amp;"&lt;name&gt;"&amp;BV15&amp;"&lt;/name&gt;"&amp;CHAR(13)&amp;CHAR(9)&amp;CHAR(9)&amp;CHAR(9)&amp;"&lt;text&gt;"&amp;BX15&amp;"&lt;/text&gt;"&amp;IF(ISBLANK(BZ15),"",CHAR(13)&amp;CHAR(9)&amp;CHAR(9)&amp;CHAR(9)&amp;"&lt;attack&gt;"&amp;BZ15&amp;"|"&amp;CA15&amp;"|"&amp;CB15&amp;"&lt;/attack&gt;")&amp;CHAR(13)&amp;CHAR(9)&amp;CHAR(9)&amp;"&lt;/"&amp;BW15&amp;"&gt;")</f>
        <v/>
      </c>
      <c r="K15" s="3" t="str">
        <f>IF(ISBLANK(CC15),"",CHAR(13)&amp;CHAR(9)&amp;CHAR(9)&amp;"&lt;"&amp;CD15&amp;"&gt;"&amp;CHAR(13)&amp;CHAR(9)&amp;CHAR(9)&amp;CHAR(9)&amp;"&lt;name&gt;"&amp;CC15&amp;"&lt;/name&gt;"&amp;CHAR(13)&amp;CHAR(9)&amp;CHAR(9)&amp;CHAR(9)&amp;"&lt;text&gt;"&amp;CE15&amp;"&lt;/text&gt;"&amp;IF(ISBLANK(CG15),"",CHAR(13)&amp;CHAR(9)&amp;CHAR(9)&amp;CHAR(9)&amp;"&lt;attack&gt;"&amp;CG15&amp;"|"&amp;CH15&amp;"|"&amp;CI15&amp;"&lt;/attack&gt;")&amp;CHAR(13)&amp;CHAR(9)&amp;CHAR(9)&amp;"&lt;/"&amp;CD15&amp;"&gt;")</f>
        <v/>
      </c>
      <c r="L15" s="1" t="s">
        <v>29</v>
      </c>
      <c r="M15" s="1" t="s">
        <v>275</v>
      </c>
      <c r="N15" s="1">
        <f>DruidAlignment</f>
        <v>0</v>
      </c>
      <c r="O15" s="2" t="s">
        <v>207</v>
      </c>
      <c r="P15" s="1" t="s">
        <v>2</v>
      </c>
      <c r="Q15" s="1">
        <v>9</v>
      </c>
      <c r="R15" s="1"/>
      <c r="S15" s="1">
        <v>15</v>
      </c>
      <c r="T15" s="1">
        <v>50</v>
      </c>
      <c r="Y15" s="1">
        <v>16</v>
      </c>
      <c r="Z15" s="1">
        <v>8</v>
      </c>
      <c r="AA15" s="1">
        <v>14</v>
      </c>
      <c r="AB15" s="10">
        <f>DruidInt</f>
        <v>0</v>
      </c>
      <c r="AC15" s="10">
        <f>DruidWis</f>
        <v>0</v>
      </c>
      <c r="AD15" s="10">
        <f>DruidCha</f>
        <v>0</v>
      </c>
      <c r="AE15" s="12"/>
      <c r="AF15" s="12">
        <v>4</v>
      </c>
      <c r="AG15" s="12"/>
      <c r="AH15" s="12" t="s">
        <v>173</v>
      </c>
      <c r="AI15" s="12" t="str">
        <f>IF(ISBLANK(DruidAcrobatics),"",", Acrobatics +"&amp;DruidAcrobatics)&amp;IF(ISBLANK(DruidAnimalHandling),"",", Animal Handling +"&amp;DruidAnimalHandling)&amp;IF(ISBLANK(DruidArcana),"",", Arcana +"&amp;DruidArcana)&amp;IF(DruidAthletics+AE15=0,"",", Athletics +"&amp;MAX(DruidAthletics,AE15))&amp;IF(ISBLANK(DruidDeception),"",",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+"&amp;DruidNature)&amp;IF(DruidPerception+AF15=0,"",", Perception +"&amp;MAX(DruidPerception,AF15))&amp;IF(ISBLANK(DruidPerformance),"",", Performance +"&amp;DruidPerformance)&amp;IF(ISBLANK(DruidPersuasion),"",", Persuasion +"&amp;DruidPersuasion)&amp;IF(ISBLANK(DruidReligion),"",", Religion +"&amp;DruidReligion)&amp;IF(ISBLANK(DruidSleightofHand),"",", Sleight of Hand +"&amp;DruidSleightofHand)&amp;IF(DruidStealth+AG15=0,"",", Stealth +"&amp;MAX(DruidStealth,AG15))&amp;IF(ISBLANK(DruidSurvival),"",", Survival +"&amp;DruidSurvival)</f>
        <v>, Perception +4</v>
      </c>
      <c r="AJ15" s="1" t="str">
        <f>RIGHT(AI15,LEN(AI15)-2)</f>
        <v>Perception +4</v>
      </c>
      <c r="AK1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5" s="1" t="s">
        <v>173</v>
      </c>
      <c r="AN15" s="3">
        <f>IF(DruidPerception+AF15=0,10+(ROUNDDOWN((AC15-10)/2,0)),10+MAX(DruidPerception,AF15))</f>
        <v>14</v>
      </c>
      <c r="AT15" s="3" t="s">
        <v>161</v>
      </c>
      <c r="AU15" s="3" t="s">
        <v>150</v>
      </c>
      <c r="AV15" s="3" t="s">
        <v>229</v>
      </c>
      <c r="AW15" s="3" t="s">
        <v>173</v>
      </c>
      <c r="AX15" s="3" t="s">
        <v>161</v>
      </c>
      <c r="AY15" s="3">
        <v>5</v>
      </c>
      <c r="AZ15" s="3" t="s">
        <v>230</v>
      </c>
      <c r="BD15" s="3" t="s">
        <v>173</v>
      </c>
      <c r="BG15" s="3"/>
      <c r="BK15" s="3" t="s">
        <v>173</v>
      </c>
      <c r="BN15" s="3"/>
      <c r="BR15" s="3" t="s">
        <v>173</v>
      </c>
      <c r="BY15" s="3" t="s">
        <v>173</v>
      </c>
      <c r="CJ15" s="6">
        <v>0.125</v>
      </c>
      <c r="CK15" s="6">
        <f>IF(CJ15&lt;0.26,2,IF(CJ15&lt;0.51,4,IF(CJ15&lt;1.1,8,99)))</f>
        <v>2</v>
      </c>
      <c r="CL15" s="3">
        <f>IF(M15="Elemental",10,IF(CJ15&lt;2,2,CJ15*3))</f>
        <v>2</v>
      </c>
      <c r="CM15" s="3">
        <f>IF(W15&gt;0,8,0)</f>
        <v>0</v>
      </c>
      <c r="CN15" s="3">
        <f>IF(X15&gt;0,4,0)</f>
        <v>0</v>
      </c>
    </row>
    <row r="16" spans="1:93">
      <c r="A16" s="3" t="str">
        <f>IF(DruidLevel&lt;B16,"",CHAR(9)&amp;"&lt;monster&gt;"&amp;CHAR(13)&amp;CHAR(9)&amp;CHAR(9)&amp;"&lt;name&gt;"&amp;L16&amp;" (Wild Shape)&lt;/name&gt;"&amp;CHAR(13)&amp;CHAR(9)&amp;CHAR(9)&amp;"&lt;size&gt;"&amp;LEFT(P16,1)&amp;"&lt;/size&gt;"&amp;CHAR(13)&amp;CHAR(9)&amp;CHAR(9)&amp;"&lt;type&gt;"&amp;M16&amp;"&lt;/type&gt;"&amp;CHAR(13)&amp;CHAR(9)&amp;CHAR(9)&amp;"&lt;alignment&gt;"&amp;N16&amp;"&lt;/alignment&gt;"&amp;CHAR(13)&amp;CHAR(9)&amp;CHAR(9)&amp;"&lt;ac&gt;"&amp;Q16&amp;IF(ISBLANK(R16),""," ("&amp;R16&amp;")")&amp;"&lt;/ac&gt;"&amp;CHAR(13)&amp;CHAR(9)&amp;CHAR(9)&amp;"&lt;hp&gt;"&amp;S16&amp;"&lt;/hp&gt;"&amp;CHAR(13)&amp;CHAR(9)&amp;CHAR(9)&amp;"&lt;speed&gt;"&amp;E16&amp;"&lt;/speed&gt;"&amp;CHAR(13)&amp;CHAR(9)&amp;CHAR(9)&amp;"&lt;str&gt;"&amp;Y16&amp;"&lt;/str&gt;&lt;dex&gt;"&amp;Z16&amp;"&lt;/dex&gt;&lt;con&gt;"&amp;AA16&amp;"&lt;/con&gt;&lt;int&gt;"&amp;AB16&amp;"&lt;/int&gt;&lt;wis&gt;"&amp;AC16&amp;"&lt;/wis&gt;&lt;cha&gt;"&amp;AD16&amp;"&lt;/cha&gt;"&amp;CHAR(13)&amp;CHAR(9)&amp;CHAR(9)&amp;"&lt;save&gt;"&amp;AK16&amp;"&lt;/save&gt;"&amp;CHAR(13)&amp;CHAR(9)&amp;CHAR(9)&amp;"&lt;skill&gt;"&amp;AJ16&amp;"&lt;/skill&gt;"&amp;CHAR(13)&amp;CHAR(9)&amp;CHAR(9)&amp;"&lt;vulnerable&gt;"&amp;AO16&amp;"&lt;/vulnerable&gt;"&amp;CHAR(13)&amp;CHAR(9)&amp;CHAR(9)&amp;"&lt;resist&gt;"&amp;AP16&amp;"&lt;/resist&gt;"&amp;CHAR(13)&amp;CHAR(9)&amp;CHAR(9)&amp;"&lt;immune&gt;"&amp;AQ16&amp;"&lt;/immune&gt;"&amp;CHAR(13)&amp;CHAR(9)&amp;CHAR(9)&amp;"&lt;conditionImmune&gt;"&amp;AR16&amp;"&lt;/conditionImmune&gt;"&amp;CHAR(13)&amp;CHAR(9)&amp;CHAR(9)&amp;"&lt;senses&gt;"&amp;AM16&amp;"&lt;/senses&gt;"&amp;CHAR(13)&amp;CHAR(9)&amp;CHAR(9)&amp;"&lt;passive&gt;"&amp;AN16&amp;"&lt;/passive&gt;"&amp;CHAR(13)&amp;CHAR(9)&amp;CHAR(9)&amp;"&lt;languages&gt;"&amp;AS16&amp;"&lt;/languages&gt;"&amp;CHAR(13)&amp;CHAR(9)&amp;CHAR(9)&amp;"&lt;cr&gt;"&amp;O16&amp;"&lt;/cr&gt;"&amp;F16&amp;G16&amp;H16&amp;I16&amp;J16&amp;K16&amp;IF(C16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6" s="3">
        <f>IF(COTM=TRUE,MAX(CL16,CM16,CN16),MAX(CK16,CM16,CN16))</f>
        <v>2</v>
      </c>
      <c r="C16" s="11" t="str">
        <f>IF(COTM=FALSE,"",IF(DruidLevel&gt;5,"Y",""))</f>
        <v/>
      </c>
      <c r="D16" s="3" t="s">
        <v>173</v>
      </c>
      <c r="E16" s="3" t="str">
        <f>T16&amp;" ft."&amp;IF(U16+V16+W16+X16=0,"",", ")&amp;IF(ISBLANK(U16),"","burrow "&amp;U16&amp;" ft."&amp;IF(V16+W16+X16=0,"",", "))&amp;IF(ISBLANK(V16),"","climb "&amp;V16&amp;" ft."&amp;IF(W16+X16=0,"",", "))&amp;IF(ISBLANK(W16),"","fly "&amp;W16&amp;" ft."&amp;IF(X16=0,"",", "))&amp;IF(ISBLANK(X16),"","swim "&amp;X16&amp;" ft.")</f>
        <v>40 ft., climb 30 ft.</v>
      </c>
      <c r="F16" s="3" t="str">
        <f>IF(ISBLANK(AT16),"",CHAR(13)&amp;CHAR(9)&amp;CHAR(9)&amp;"&lt;"&amp;AU16&amp;"&gt;"&amp;CHAR(13)&amp;CHAR(9)&amp;CHAR(9)&amp;CHAR(9)&amp;"&lt;name&gt;"&amp;AT16&amp;"&lt;/name&gt;"&amp;CHAR(13)&amp;CHAR(9)&amp;CHAR(9)&amp;CHAR(9)&amp;"&lt;text&gt;"&amp;AV16&amp;"&lt;/text&gt;"&amp;IF(ISBLANK(AX16),"",CHAR(13)&amp;CHAR(9)&amp;CHAR(9)&amp;CHAR(9)&amp;"&lt;attack&gt;"&amp;AX16&amp;"|"&amp;AY16&amp;"|"&amp;AZ16&amp;"&lt;/attack&gt;")&amp;CHAR(13)&amp;CHAR(9)&amp;CHAR(9)&amp;"&lt;/"&amp;AU16&amp;"&gt;")</f>
        <v>_x000D_		&lt;trait&gt;_x000D_			&lt;name&gt;Keen Smell&lt;/name&gt;_x000D_			&lt;text&gt;The cat has advantage on Wisdom (Perception) checks that rely on smell.&lt;/text&gt;_x000D_		&lt;/trait&gt;</v>
      </c>
      <c r="G16" s="3" t="str">
        <f>IF(ISBLANK(BA16),"",CHAR(13)&amp;CHAR(9)&amp;CHAR(9)&amp;"&lt;"&amp;BB16&amp;"&gt;"&amp;CHAR(13)&amp;CHAR(9)&amp;CHAR(9)&amp;CHAR(9)&amp;"&lt;name&gt;"&amp;BA16&amp;"&lt;/name&gt;"&amp;CHAR(13)&amp;CHAR(9)&amp;CHAR(9)&amp;CHAR(9)&amp;"&lt;text&gt;"&amp;BC16&amp;"&lt;/text&gt;"&amp;IF(ISBLANK(BE16),"",CHAR(13)&amp;CHAR(9)&amp;CHAR(9)&amp;CHAR(9)&amp;"&lt;attack&gt;"&amp;BE16&amp;"|"&amp;BF16&amp;"|"&amp;BG16&amp;"&lt;/attack&gt;")&amp;CHAR(13)&amp;CHAR(9)&amp;CHAR(9)&amp;"&lt;/"&amp;BB16&amp;"&gt;")</f>
        <v>_x000D_		&lt;action&gt;_x000D_			&lt;name&gt;Claws&lt;/name&gt;_x000D_			&lt;text&gt;Melee Weapon Attack: +0 to hit, reach 5 ft., one target. Hit: 1 slashing damage.&lt;/text&gt;_x000D_			&lt;attack&gt;Claws|0|1&lt;/attack&gt;_x000D_		&lt;/action&gt;</v>
      </c>
      <c r="H16" s="3" t="str">
        <f>IF(ISBLANK(BH16),"",CHAR(13)&amp;CHAR(9)&amp;CHAR(9)&amp;"&lt;"&amp;BI16&amp;"&gt;"&amp;CHAR(13)&amp;CHAR(9)&amp;CHAR(9)&amp;CHAR(9)&amp;"&lt;name&gt;"&amp;BH16&amp;"&lt;/name&gt;"&amp;CHAR(13)&amp;CHAR(9)&amp;CHAR(9)&amp;CHAR(9)&amp;"&lt;text&gt;"&amp;BJ16&amp;"&lt;/text&gt;"&amp;IF(ISBLANK(BL16),"",CHAR(13)&amp;CHAR(9)&amp;CHAR(9)&amp;CHAR(9)&amp;"&lt;attack&gt;"&amp;BL16&amp;"|"&amp;BM16&amp;"|"&amp;BN16&amp;"&lt;/attack&gt;")&amp;CHAR(13)&amp;CHAR(9)&amp;CHAR(9)&amp;"&lt;/"&amp;BI16&amp;"&gt;")</f>
        <v/>
      </c>
      <c r="I16" s="3" t="str">
        <f>IF(ISBLANK(BO16),"",CHAR(13)&amp;CHAR(9)&amp;CHAR(9)&amp;"&lt;"&amp;BP16&amp;"&gt;"&amp;CHAR(13)&amp;CHAR(9)&amp;CHAR(9)&amp;CHAR(9)&amp;"&lt;name&gt;"&amp;BO16&amp;"&lt;/name&gt;"&amp;CHAR(13)&amp;CHAR(9)&amp;CHAR(9)&amp;CHAR(9)&amp;"&lt;text&gt;"&amp;BQ16&amp;"&lt;/text&gt;"&amp;IF(ISBLANK(BS16),"",CHAR(13)&amp;CHAR(9)&amp;CHAR(9)&amp;CHAR(9)&amp;"&lt;attack&gt;"&amp;BS16&amp;"|"&amp;BT16&amp;"|"&amp;BU16&amp;"&lt;/attack&gt;")&amp;CHAR(13)&amp;CHAR(9)&amp;CHAR(9)&amp;"&lt;/"&amp;BP16&amp;"&gt;")</f>
        <v/>
      </c>
      <c r="J16" s="3" t="str">
        <f>IF(ISBLANK(BV16),"",CHAR(13)&amp;CHAR(9)&amp;CHAR(9)&amp;"&lt;"&amp;BW16&amp;"&gt;"&amp;CHAR(13)&amp;CHAR(9)&amp;CHAR(9)&amp;CHAR(9)&amp;"&lt;name&gt;"&amp;BV16&amp;"&lt;/name&gt;"&amp;CHAR(13)&amp;CHAR(9)&amp;CHAR(9)&amp;CHAR(9)&amp;"&lt;text&gt;"&amp;BX16&amp;"&lt;/text&gt;"&amp;IF(ISBLANK(BZ16),"",CHAR(13)&amp;CHAR(9)&amp;CHAR(9)&amp;CHAR(9)&amp;"&lt;attack&gt;"&amp;BZ16&amp;"|"&amp;CA16&amp;"|"&amp;CB16&amp;"&lt;/attack&gt;")&amp;CHAR(13)&amp;CHAR(9)&amp;CHAR(9)&amp;"&lt;/"&amp;BW16&amp;"&gt;")</f>
        <v/>
      </c>
      <c r="K16" s="3" t="str">
        <f>IF(ISBLANK(CC16),"",CHAR(13)&amp;CHAR(9)&amp;CHAR(9)&amp;"&lt;"&amp;CD16&amp;"&gt;"&amp;CHAR(13)&amp;CHAR(9)&amp;CHAR(9)&amp;CHAR(9)&amp;"&lt;name&gt;"&amp;CC16&amp;"&lt;/name&gt;"&amp;CHAR(13)&amp;CHAR(9)&amp;CHAR(9)&amp;CHAR(9)&amp;"&lt;text&gt;"&amp;CE16&amp;"&lt;/text&gt;"&amp;IF(ISBLANK(CG16),"",CHAR(13)&amp;CHAR(9)&amp;CHAR(9)&amp;CHAR(9)&amp;"&lt;attack&gt;"&amp;CG16&amp;"|"&amp;CH16&amp;"|"&amp;CI16&amp;"&lt;/attack&gt;")&amp;CHAR(13)&amp;CHAR(9)&amp;CHAR(9)&amp;"&lt;/"&amp;CD16&amp;"&gt;")</f>
        <v/>
      </c>
      <c r="L16" s="1" t="s">
        <v>15</v>
      </c>
      <c r="M16" s="1" t="s">
        <v>275</v>
      </c>
      <c r="N16" s="1">
        <f>DruidAlignment</f>
        <v>0</v>
      </c>
      <c r="O16" s="2">
        <v>0</v>
      </c>
      <c r="P16" s="1" t="s">
        <v>0</v>
      </c>
      <c r="Q16" s="1">
        <v>12</v>
      </c>
      <c r="R16" s="1"/>
      <c r="S16" s="1">
        <v>2</v>
      </c>
      <c r="T16" s="1">
        <v>40</v>
      </c>
      <c r="V16" s="1">
        <v>30</v>
      </c>
      <c r="Y16" s="1">
        <v>3</v>
      </c>
      <c r="Z16" s="1">
        <v>15</v>
      </c>
      <c r="AA16" s="1">
        <v>10</v>
      </c>
      <c r="AB16" s="10">
        <f>DruidInt</f>
        <v>0</v>
      </c>
      <c r="AC16" s="10">
        <f>DruidWis</f>
        <v>0</v>
      </c>
      <c r="AD16" s="10">
        <f>DruidCha</f>
        <v>0</v>
      </c>
      <c r="AE16" s="12"/>
      <c r="AF16" s="12"/>
      <c r="AG16" s="12">
        <v>4</v>
      </c>
      <c r="AH16" s="12" t="s">
        <v>173</v>
      </c>
      <c r="AI16" s="12" t="str">
        <f>IF(ISBLANK(DruidAcrobatics),"",", Acrobatics +"&amp;DruidAcrobatics)&amp;IF(ISBLANK(DruidAnimalHandling),"",", Animal Handling +"&amp;DruidAnimalHandling)&amp;IF(ISBLANK(DruidArcana),"",", Arcana +"&amp;DruidArcana)&amp;IF(DruidAthletics+AE16=0,"",", Athletics +"&amp;MAX(DruidAthletics,AE16))&amp;IF(ISBLANK(DruidDeception),"",",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+"&amp;DruidNature)&amp;IF(DruidPerception+AF16=0,"",", Perception +"&amp;MAX(DruidPerception,AF16))&amp;IF(ISBLANK(DruidPerformance),"",", Performance +"&amp;DruidPerformance)&amp;IF(ISBLANK(DruidPersuasion),"",", Persuasion +"&amp;DruidPersuasion)&amp;IF(ISBLANK(DruidReligion),"",", Religion +"&amp;DruidReligion)&amp;IF(ISBLANK(DruidSleightofHand),"",", Sleight of Hand +"&amp;DruidSleightofHand)&amp;IF(DruidStealth+AG16=0,"",", Stealth +"&amp;MAX(DruidStealth,AG16))&amp;IF(ISBLANK(DruidSurvival),"",", Survival +"&amp;DruidSurvival)</f>
        <v>, Stealth +4</v>
      </c>
      <c r="AJ16" s="1" t="str">
        <f>RIGHT(AI16,LEN(AI16)-2)</f>
        <v>Stealth +4</v>
      </c>
      <c r="AK1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6" s="1" t="s">
        <v>173</v>
      </c>
      <c r="AN16" s="3">
        <f>IF(DruidPerception+AF16=0,10+(ROUNDDOWN((AC16-10)/2,0)),10+MAX(DruidPerception,AF16))</f>
        <v>5</v>
      </c>
      <c r="AT16" s="3" t="s">
        <v>14</v>
      </c>
      <c r="AU16" s="3" t="s">
        <v>148</v>
      </c>
      <c r="AV16" s="3" t="s">
        <v>231</v>
      </c>
      <c r="AW16" s="3" t="s">
        <v>173</v>
      </c>
      <c r="AZ16" s="3"/>
      <c r="BA16" s="3" t="s">
        <v>220</v>
      </c>
      <c r="BB16" s="3" t="s">
        <v>150</v>
      </c>
      <c r="BC16" s="3" t="s">
        <v>232</v>
      </c>
      <c r="BD16" s="3" t="s">
        <v>173</v>
      </c>
      <c r="BE16" s="3" t="s">
        <v>220</v>
      </c>
      <c r="BF16" s="3">
        <v>0</v>
      </c>
      <c r="BG16" s="3">
        <v>1</v>
      </c>
      <c r="BK16" s="3" t="s">
        <v>173</v>
      </c>
      <c r="BN16" s="3"/>
      <c r="BR16" s="3" t="s">
        <v>173</v>
      </c>
      <c r="BY16" s="3" t="s">
        <v>173</v>
      </c>
      <c r="CJ16" s="6">
        <v>0</v>
      </c>
      <c r="CK16" s="6">
        <f>IF(CJ16&lt;0.26,2,IF(CJ16&lt;0.51,4,IF(CJ16&lt;1.1,8,99)))</f>
        <v>2</v>
      </c>
      <c r="CL16" s="3">
        <f>IF(M16="Elemental",10,IF(CJ16&lt;2,2,CJ16*3))</f>
        <v>2</v>
      </c>
      <c r="CM16" s="3">
        <f>IF(W16&gt;0,8,0)</f>
        <v>0</v>
      </c>
      <c r="CN16" s="3">
        <f>IF(X16&gt;0,4,0)</f>
        <v>0</v>
      </c>
    </row>
    <row r="17" spans="1:92">
      <c r="G17" s="3" t="str">
        <f>IF(ISBLANK(BA17),"",CHAR(13)&amp;CHAR(9)&amp;CHAR(9)&amp;"&lt;"&amp;BB17&amp;"&gt;"&amp;CHAR(13)&amp;CHAR(9)&amp;CHAR(9)&amp;CHAR(9)&amp;"&lt;name&gt;"&amp;BA17&amp;"&lt;/name&gt;"&amp;CHAR(13)&amp;CHAR(9)&amp;CHAR(9)&amp;CHAR(9)&amp;"&lt;text&gt;"&amp;BC17&amp;"&lt;/text&gt;"&amp;IF(ISBLANK(BE17),"",CHAR(13)&amp;CHAR(9)&amp;CHAR(9)&amp;CHAR(9)&amp;"&lt;attack&gt;"&amp;BE17&amp;"|"&amp;BF17&amp;"|"&amp;BG17&amp;"&lt;/attack&gt;")&amp;CHAR(13)&amp;CHAR(9)&amp;CHAR(9)&amp;"&lt;/"&amp;BB17&amp;"&gt;")</f>
        <v>_x000D_		&lt;action&gt;_x000D_			&lt;name&gt;Multiattack&lt;/name&gt;_x000D_			&lt;text&gt;The bear makes two attacks: one with its bite and one with its claws.&lt;/text&gt;_x000D_		&lt;/action&gt;</v>
      </c>
      <c r="H17" s="3" t="str">
        <f>IF(ISBLANK(BH17),"",CHAR(13)&amp;CHAR(9)&amp;CHAR(9)&amp;"&lt;"&amp;BI17&amp;"&gt;"&amp;CHAR(13)&amp;CHAR(9)&amp;CHAR(9)&amp;CHAR(9)&amp;"&lt;name&gt;"&amp;BH17&amp;"&lt;/name&gt;"&amp;CHAR(13)&amp;CHAR(9)&amp;CHAR(9)&amp;CHAR(9)&amp;"&lt;text&gt;"&amp;BJ17&amp;"&lt;/text&gt;"&amp;IF(ISBLANK(BL17),"",CHAR(13)&amp;CHAR(9)&amp;CHAR(9)&amp;CHAR(9)&amp;"&lt;attack&gt;"&amp;BL17&amp;"|"&amp;BM17&amp;"|"&amp;BN17&amp;"&lt;/attack&gt;")&amp;CHAR(13)&amp;CHAR(9)&amp;CHAR(9)&amp;"&lt;/"&amp;BI17&amp;"&gt;")</f>
        <v>_x000D_		&lt;action&gt;_x000D_			&lt;name&gt;Bite&lt;/name&gt;_x000D_			&lt;text&gt;Melee Weapon Attack: +7 to hit, reach 5 ft., one target. Hit: 9 (1d8 + 5) piercing damage.&lt;/text&gt;_x000D_			&lt;attack&gt;Bite|7|1d8+5&lt;/attack&gt;_x000D_		&lt;/action&gt;</v>
      </c>
      <c r="I17" s="3" t="str">
        <f>IF(ISBLANK(BO17),"",CHAR(13)&amp;CHAR(9)&amp;CHAR(9)&amp;"&lt;"&amp;BP17&amp;"&gt;"&amp;CHAR(13)&amp;CHAR(9)&amp;CHAR(9)&amp;CHAR(9)&amp;"&lt;name&gt;"&amp;BO17&amp;"&lt;/name&gt;"&amp;CHAR(13)&amp;CHAR(9)&amp;CHAR(9)&amp;CHAR(9)&amp;"&lt;text&gt;"&amp;BQ17&amp;"&lt;/text&gt;"&amp;IF(ISBLANK(BS17),"",CHAR(13)&amp;CHAR(9)&amp;CHAR(9)&amp;CHAR(9)&amp;"&lt;attack&gt;"&amp;BS17&amp;"|"&amp;BT17&amp;"|"&amp;BU17&amp;"&lt;/attack&gt;")&amp;CHAR(13)&amp;CHAR(9)&amp;CHAR(9)&amp;"&lt;/"&amp;BP17&amp;"&gt;")</f>
        <v>_x000D_		&lt;action&gt;_x000D_			&lt;name&gt;Claws&lt;/name&gt;_x000D_			&lt;text&gt;Melee Weapon Attack: +7 to hit, reach 5 ft., one target. Hit: 12 (2d6 + 5) slashing damage.&lt;/text&gt;_x000D_			&lt;attack&gt;Claws|7|2d6+5&lt;/attack&gt;_x000D_		&lt;/action&gt;</v>
      </c>
      <c r="J17" s="3" t="str">
        <f>IF(ISBLANK(BV17),"",CHAR(13)&amp;CHAR(9)&amp;CHAR(9)&amp;"&lt;"&amp;BW17&amp;"&gt;"&amp;CHAR(13)&amp;CHAR(9)&amp;CHAR(9)&amp;CHAR(9)&amp;"&lt;name&gt;"&amp;BV17&amp;"&lt;/name&gt;"&amp;CHAR(13)&amp;CHAR(9)&amp;CHAR(9)&amp;CHAR(9)&amp;"&lt;text&gt;"&amp;BX17&amp;"&lt;/text&gt;"&amp;IF(ISBLANK(BZ17),"",CHAR(13)&amp;CHAR(9)&amp;CHAR(9)&amp;CHAR(9)&amp;"&lt;attack&gt;"&amp;BZ17&amp;"|"&amp;CA17&amp;"|"&amp;CB17&amp;"&lt;/attack&gt;")&amp;CHAR(13)&amp;CHAR(9)&amp;CHAR(9)&amp;"&lt;/"&amp;BW17&amp;"&gt;")</f>
        <v/>
      </c>
      <c r="L17" s="1" t="s">
        <v>518</v>
      </c>
      <c r="M17" s="1" t="s">
        <v>275</v>
      </c>
      <c r="N17" s="1">
        <f>DruidAlignment</f>
        <v>0</v>
      </c>
      <c r="O17" s="2">
        <v>2</v>
      </c>
      <c r="P17" s="1" t="s">
        <v>2</v>
      </c>
      <c r="Q17" s="1">
        <v>12</v>
      </c>
      <c r="R17" s="1" t="s">
        <v>405</v>
      </c>
      <c r="S17" s="1">
        <v>42</v>
      </c>
      <c r="T17" s="1">
        <v>40</v>
      </c>
      <c r="X17" s="1">
        <v>30</v>
      </c>
      <c r="Y17" s="1">
        <v>20</v>
      </c>
      <c r="Z17" s="1">
        <v>10</v>
      </c>
      <c r="AA17" s="1">
        <v>16</v>
      </c>
      <c r="AB17" s="10">
        <f>DruidInt</f>
        <v>0</v>
      </c>
      <c r="AC17" s="10">
        <f>DruidWis</f>
        <v>0</v>
      </c>
      <c r="AD17" s="10">
        <f>DruidCha</f>
        <v>0</v>
      </c>
      <c r="AE17" s="12"/>
      <c r="AF17" s="12">
        <v>3</v>
      </c>
      <c r="AG17" s="12"/>
      <c r="AH17" s="12" t="s">
        <v>173</v>
      </c>
      <c r="AI17" s="12" t="str">
        <f>IF(ISBLANK(DruidAcrobatics),"",", Acrobatics +"&amp;DruidAcrobatics)&amp;IF(ISBLANK(DruidAnimalHandling),"",", Animal Handling +"&amp;DruidAnimalHandling)&amp;IF(ISBLANK(DruidArcana),"",", Arcana +"&amp;DruidArcana)&amp;IF(DruidAthletics+AE17=0,"",", Athletics +"&amp;MAX(DruidAthletics,AE17))&amp;IF(ISBLANK(DruidDeception),"",",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+"&amp;DruidNature)&amp;IF(DruidPerception+AF17=0,"",", Perception +"&amp;MAX(DruidPerception,AF17))&amp;IF(ISBLANK(DruidPerformance),"",", Performance +"&amp;DruidPerformance)&amp;IF(ISBLANK(DruidPersuasion),"",", Persuasion +"&amp;DruidPersuasion)&amp;IF(ISBLANK(DruidReligion),"",", Religion +"&amp;DruidReligion)&amp;IF(ISBLANK(DruidSleightofHand),"",", Sleight of Hand +"&amp;DruidSleightofHand)&amp;IF(DruidStealth+AG17=0,"",", Stealth +"&amp;MAX(DruidStealth,AG17))&amp;IF(ISBLANK(DruidSurvival),"",", Survival +"&amp;DruidSurvival)</f>
        <v>, Perception +3</v>
      </c>
      <c r="AJ17" s="1" t="str">
        <f>RIGHT(AI17,LEN(AI17)-2)</f>
        <v>Perception +3</v>
      </c>
      <c r="AK1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7" s="1" t="s">
        <v>173</v>
      </c>
      <c r="AM17" s="3" t="s">
        <v>176</v>
      </c>
      <c r="AN17" s="3">
        <f>IF(DruidPerception+AF17=0,10+(ROUNDDOWN((AC17-10)/2,0)),10+MAX(DruidPerception,AF17))</f>
        <v>13</v>
      </c>
      <c r="AT17" s="3" t="s">
        <v>14</v>
      </c>
      <c r="AU17" s="3" t="s">
        <v>148</v>
      </c>
      <c r="AV17" s="3" t="s">
        <v>217</v>
      </c>
      <c r="AW17" s="3" t="s">
        <v>173</v>
      </c>
      <c r="AZ17" s="3"/>
      <c r="BA17" s="3" t="s">
        <v>149</v>
      </c>
      <c r="BB17" s="3" t="s">
        <v>150</v>
      </c>
      <c r="BC17" s="3" t="s">
        <v>218</v>
      </c>
      <c r="BD17" s="3" t="s">
        <v>173</v>
      </c>
      <c r="BG17" s="3"/>
      <c r="BH17" s="3" t="s">
        <v>161</v>
      </c>
      <c r="BI17" s="3" t="s">
        <v>150</v>
      </c>
      <c r="BJ17" s="3" t="s">
        <v>375</v>
      </c>
      <c r="BK17" s="3" t="s">
        <v>173</v>
      </c>
      <c r="BL17" s="3" t="s">
        <v>161</v>
      </c>
      <c r="BM17" s="3">
        <v>7</v>
      </c>
      <c r="BN17" s="3" t="s">
        <v>376</v>
      </c>
      <c r="BO17" s="3" t="s">
        <v>220</v>
      </c>
      <c r="BP17" s="3" t="s">
        <v>150</v>
      </c>
      <c r="BQ17" s="3" t="s">
        <v>377</v>
      </c>
      <c r="BR17" s="3" t="s">
        <v>173</v>
      </c>
      <c r="BS17" s="3" t="s">
        <v>220</v>
      </c>
      <c r="BT17" s="3">
        <v>7</v>
      </c>
      <c r="BU17" s="3" t="s">
        <v>378</v>
      </c>
    </row>
    <row r="18" spans="1:92">
      <c r="A18" s="3" t="str">
        <f>IF(DruidLevel&lt;B18,"",CHAR(9)&amp;"&lt;monster&gt;"&amp;CHAR(13)&amp;CHAR(9)&amp;CHAR(9)&amp;"&lt;name&gt;"&amp;L18&amp;" (Wild Shape)&lt;/name&gt;"&amp;CHAR(13)&amp;CHAR(9)&amp;CHAR(9)&amp;"&lt;size&gt;"&amp;LEFT(P18,1)&amp;"&lt;/size&gt;"&amp;CHAR(13)&amp;CHAR(9)&amp;CHAR(9)&amp;"&lt;type&gt;"&amp;M18&amp;"&lt;/type&gt;"&amp;CHAR(13)&amp;CHAR(9)&amp;CHAR(9)&amp;"&lt;alignment&gt;"&amp;N18&amp;"&lt;/alignment&gt;"&amp;CHAR(13)&amp;CHAR(9)&amp;CHAR(9)&amp;"&lt;ac&gt;"&amp;Q18&amp;IF(ISBLANK(R18),""," ("&amp;R18&amp;")")&amp;"&lt;/ac&gt;"&amp;CHAR(13)&amp;CHAR(9)&amp;CHAR(9)&amp;"&lt;hp&gt;"&amp;S18&amp;"&lt;/hp&gt;"&amp;CHAR(13)&amp;CHAR(9)&amp;CHAR(9)&amp;"&lt;speed&gt;"&amp;E18&amp;"&lt;/speed&gt;"&amp;CHAR(13)&amp;CHAR(9)&amp;CHAR(9)&amp;"&lt;str&gt;"&amp;Y18&amp;"&lt;/str&gt;&lt;dex&gt;"&amp;Z18&amp;"&lt;/dex&gt;&lt;con&gt;"&amp;AA18&amp;"&lt;/con&gt;&lt;int&gt;"&amp;AB18&amp;"&lt;/int&gt;&lt;wis&gt;"&amp;AC18&amp;"&lt;/wis&gt;&lt;cha&gt;"&amp;AD18&amp;"&lt;/cha&gt;"&amp;CHAR(13)&amp;CHAR(9)&amp;CHAR(9)&amp;"&lt;save&gt;"&amp;AK18&amp;"&lt;/save&gt;"&amp;CHAR(13)&amp;CHAR(9)&amp;CHAR(9)&amp;"&lt;skill&gt;"&amp;AJ18&amp;"&lt;/skill&gt;"&amp;CHAR(13)&amp;CHAR(9)&amp;CHAR(9)&amp;"&lt;vulnerable&gt;"&amp;AO18&amp;"&lt;/vulnerable&gt;"&amp;CHAR(13)&amp;CHAR(9)&amp;CHAR(9)&amp;"&lt;resist&gt;"&amp;AP18&amp;"&lt;/resist&gt;"&amp;CHAR(13)&amp;CHAR(9)&amp;CHAR(9)&amp;"&lt;immune&gt;"&amp;AQ18&amp;"&lt;/immune&gt;"&amp;CHAR(13)&amp;CHAR(9)&amp;CHAR(9)&amp;"&lt;conditionImmune&gt;"&amp;AR18&amp;"&lt;/conditionImmune&gt;"&amp;CHAR(13)&amp;CHAR(9)&amp;CHAR(9)&amp;"&lt;senses&gt;"&amp;AM18&amp;"&lt;/senses&gt;"&amp;CHAR(13)&amp;CHAR(9)&amp;CHAR(9)&amp;"&lt;passive&gt;"&amp;AN18&amp;"&lt;/passive&gt;"&amp;CHAR(13)&amp;CHAR(9)&amp;CHAR(9)&amp;"&lt;languages&gt;"&amp;AS18&amp;"&lt;/languages&gt;"&amp;CHAR(13)&amp;CHAR(9)&amp;CHAR(9)&amp;"&lt;cr&gt;"&amp;O18&amp;"&lt;/cr&gt;"&amp;F18&amp;G18&amp;H18&amp;I18&amp;J18&amp;K18&amp;IF(C18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8" s="3">
        <f>IF(COTM=TRUE,MAX(CL18,CM18,CN18),MAX(CK18,CM18,CN18))</f>
        <v>4</v>
      </c>
      <c r="C18" s="11" t="str">
        <f>IF(COTM=FALSE,"",IF(DruidLevel&gt;5,"Y",""))</f>
        <v/>
      </c>
      <c r="D18" s="3" t="s">
        <v>173</v>
      </c>
      <c r="E18" s="3" t="str">
        <f>T18&amp;" ft."&amp;IF(U18+V18+W18+X18=0,"",", ")&amp;IF(ISBLANK(U18),"","burrow "&amp;U18&amp;" ft."&amp;IF(V18+W18+X18=0,"",", "))&amp;IF(ISBLANK(V18),"","climb "&amp;V18&amp;" ft."&amp;IF(W18+X18=0,"",", "))&amp;IF(ISBLANK(W18),"","fly "&amp;W18&amp;" ft."&amp;IF(X18=0,"",", "))&amp;IF(ISBLANK(X18),"","swim "&amp;X18&amp;" ft.")</f>
        <v>30 ft., swim 30 ft.</v>
      </c>
      <c r="F18" s="3" t="str">
        <f>IF(ISBLANK(AT18),"",CHAR(13)&amp;CHAR(9)&amp;CHAR(9)&amp;"&lt;"&amp;AU18&amp;"&gt;"&amp;CHAR(13)&amp;CHAR(9)&amp;CHAR(9)&amp;CHAR(9)&amp;"&lt;name&gt;"&amp;AT18&amp;"&lt;/name&gt;"&amp;CHAR(13)&amp;CHAR(9)&amp;CHAR(9)&amp;CHAR(9)&amp;"&lt;text&gt;"&amp;AV18&amp;"&lt;/text&gt;"&amp;IF(ISBLANK(AX18),"",CHAR(13)&amp;CHAR(9)&amp;CHAR(9)&amp;CHAR(9)&amp;"&lt;attack&gt;"&amp;AX18&amp;"|"&amp;AY18&amp;"|"&amp;AZ18&amp;"&lt;/attack&gt;")&amp;CHAR(13)&amp;CHAR(9)&amp;CHAR(9)&amp;"&lt;/"&amp;AU18&amp;"&gt;")</f>
        <v>_x000D_		&lt;action&gt;_x000D_			&lt;name&gt;Bite&lt;/name&gt;_x000D_			&lt;text&gt;Melee Weapon Attack: +4 to hit, reach 5 ft., one creature. Hit: 5 (1d6+2) piercing damage.&lt;/text&gt;_x000D_			&lt;attack&gt;Bite|4|1d6+2&lt;/attack&gt;_x000D_		&lt;/action&gt;</v>
      </c>
      <c r="G18" s="3" t="str">
        <f>IF(ISBLANK(BA18),"",CHAR(13)&amp;CHAR(9)&amp;CHAR(9)&amp;"&lt;"&amp;BB18&amp;"&gt;"&amp;CHAR(13)&amp;CHAR(9)&amp;CHAR(9)&amp;CHAR(9)&amp;"&lt;name&gt;"&amp;BA18&amp;"&lt;/name&gt;"&amp;CHAR(13)&amp;CHAR(9)&amp;CHAR(9)&amp;CHAR(9)&amp;"&lt;text&gt;"&amp;BC18&amp;"&lt;/text&gt;"&amp;IF(ISBLANK(BE18),"",CHAR(13)&amp;CHAR(9)&amp;CHAR(9)&amp;CHAR(9)&amp;"&lt;attack&gt;"&amp;BE18&amp;"|"&amp;BF18&amp;"|"&amp;BG18&amp;"&lt;/attack&gt;")&amp;CHAR(13)&amp;CHAR(9)&amp;CHAR(9)&amp;"&lt;/"&amp;BB18&amp;"&gt;")</f>
        <v>_x000D_		&lt;action&gt;_x000D_			&lt;name&gt;Constrict&lt;/name&gt;_x000D_			&lt;text&gt;Melee Weapon Attack: +4 to hit, reach 5 ft., one creature. Hit: 6 (1d8+2) bludgeoning damage, and the target is grappled (escape DC 14). Until this grapple ends, the creature is restrained, and the snake can't constrict another target.&lt;/text&gt;_x000D_			&lt;attack&gt;Constrict|4|1d8+2&lt;/attack&gt;_x000D_		&lt;/action&gt;</v>
      </c>
      <c r="H18" s="3" t="str">
        <f>IF(ISBLANK(BH18),"",CHAR(13)&amp;CHAR(9)&amp;CHAR(9)&amp;"&lt;"&amp;BI18&amp;"&gt;"&amp;CHAR(13)&amp;CHAR(9)&amp;CHAR(9)&amp;CHAR(9)&amp;"&lt;name&gt;"&amp;BH18&amp;"&lt;/name&gt;"&amp;CHAR(13)&amp;CHAR(9)&amp;CHAR(9)&amp;CHAR(9)&amp;"&lt;text&gt;"&amp;BJ18&amp;"&lt;/text&gt;"&amp;IF(ISBLANK(BL18),"",CHAR(13)&amp;CHAR(9)&amp;CHAR(9)&amp;CHAR(9)&amp;"&lt;attack&gt;"&amp;BL18&amp;"|"&amp;BM18&amp;"|"&amp;BN18&amp;"&lt;/attack&gt;")&amp;CHAR(13)&amp;CHAR(9)&amp;CHAR(9)&amp;"&lt;/"&amp;BI18&amp;"&gt;")</f>
        <v/>
      </c>
      <c r="I18" s="3" t="str">
        <f>IF(ISBLANK(BO18),"",CHAR(13)&amp;CHAR(9)&amp;CHAR(9)&amp;"&lt;"&amp;BP18&amp;"&gt;"&amp;CHAR(13)&amp;CHAR(9)&amp;CHAR(9)&amp;CHAR(9)&amp;"&lt;name&gt;"&amp;BO18&amp;"&lt;/name&gt;"&amp;CHAR(13)&amp;CHAR(9)&amp;CHAR(9)&amp;CHAR(9)&amp;"&lt;text&gt;"&amp;BQ18&amp;"&lt;/text&gt;"&amp;IF(ISBLANK(BS18),"",CHAR(13)&amp;CHAR(9)&amp;CHAR(9)&amp;CHAR(9)&amp;"&lt;attack&gt;"&amp;BS18&amp;"|"&amp;BT18&amp;"|"&amp;BU18&amp;"&lt;/attack&gt;")&amp;CHAR(13)&amp;CHAR(9)&amp;CHAR(9)&amp;"&lt;/"&amp;BP18&amp;"&gt;")</f>
        <v/>
      </c>
      <c r="J18" s="3" t="str">
        <f>IF(ISBLANK(BV18),"",CHAR(13)&amp;CHAR(9)&amp;CHAR(9)&amp;"&lt;"&amp;BW18&amp;"&gt;"&amp;CHAR(13)&amp;CHAR(9)&amp;CHAR(9)&amp;CHAR(9)&amp;"&lt;name&gt;"&amp;BV18&amp;"&lt;/name&gt;"&amp;CHAR(13)&amp;CHAR(9)&amp;CHAR(9)&amp;CHAR(9)&amp;"&lt;text&gt;"&amp;BX18&amp;"&lt;/text&gt;"&amp;IF(ISBLANK(BZ18),"",CHAR(13)&amp;CHAR(9)&amp;CHAR(9)&amp;CHAR(9)&amp;"&lt;attack&gt;"&amp;BZ18&amp;"|"&amp;CA18&amp;"|"&amp;CB18&amp;"&lt;/attack&gt;")&amp;CHAR(13)&amp;CHAR(9)&amp;CHAR(9)&amp;"&lt;/"&amp;BW18&amp;"&gt;")</f>
        <v/>
      </c>
      <c r="K18" s="3" t="str">
        <f>IF(ISBLANK(CC18),"",CHAR(13)&amp;CHAR(9)&amp;CHAR(9)&amp;"&lt;"&amp;CD18&amp;"&gt;"&amp;CHAR(13)&amp;CHAR(9)&amp;CHAR(9)&amp;CHAR(9)&amp;"&lt;name&gt;"&amp;CC18&amp;"&lt;/name&gt;"&amp;CHAR(13)&amp;CHAR(9)&amp;CHAR(9)&amp;CHAR(9)&amp;"&lt;text&gt;"&amp;CE18&amp;"&lt;/text&gt;"&amp;IF(ISBLANK(CG18),"",CHAR(13)&amp;CHAR(9)&amp;CHAR(9)&amp;CHAR(9)&amp;"&lt;attack&gt;"&amp;CG18&amp;"|"&amp;CH18&amp;"|"&amp;CI18&amp;"&lt;/attack&gt;")&amp;CHAR(13)&amp;CHAR(9)&amp;CHAR(9)&amp;"&lt;/"&amp;CD18&amp;"&gt;")</f>
        <v/>
      </c>
      <c r="L18" s="1" t="s">
        <v>67</v>
      </c>
      <c r="M18" s="1" t="s">
        <v>275</v>
      </c>
      <c r="N18" s="1">
        <f>DruidAlignment</f>
        <v>0</v>
      </c>
      <c r="O18" s="2" t="s">
        <v>208</v>
      </c>
      <c r="P18" s="1" t="s">
        <v>2</v>
      </c>
      <c r="Q18" s="1">
        <v>12</v>
      </c>
      <c r="R18" s="1"/>
      <c r="S18" s="1">
        <v>13</v>
      </c>
      <c r="T18" s="1">
        <v>30</v>
      </c>
      <c r="X18" s="1">
        <v>30</v>
      </c>
      <c r="Y18" s="1">
        <v>15</v>
      </c>
      <c r="Z18" s="1">
        <v>14</v>
      </c>
      <c r="AA18" s="1">
        <v>12</v>
      </c>
      <c r="AB18" s="10">
        <f>DruidInt</f>
        <v>0</v>
      </c>
      <c r="AC18" s="10">
        <f>DruidWis</f>
        <v>0</v>
      </c>
      <c r="AD18" s="10">
        <f>DruidCha</f>
        <v>0</v>
      </c>
      <c r="AE18" s="12"/>
      <c r="AF18" s="12">
        <v>5</v>
      </c>
      <c r="AG18" s="12"/>
      <c r="AH18" s="12" t="s">
        <v>173</v>
      </c>
      <c r="AI18" s="12" t="str">
        <f>IF(ISBLANK(DruidAcrobatics),"",", Acrobatics +"&amp;DruidAcrobatics)&amp;IF(ISBLANK(DruidAnimalHandling),"",", Animal Handling +"&amp;DruidAnimalHandling)&amp;IF(ISBLANK(DruidArcana),"",", Arcana +"&amp;DruidArcana)&amp;IF(DruidAthletics+AE18=0,"",", Athletics +"&amp;MAX(DruidAthletics,AE18))&amp;IF(ISBLANK(DruidDeception),"",",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+"&amp;DruidNature)&amp;IF(DruidPerception+AF18=0,"",", Perception +"&amp;MAX(DruidPerception,AF18))&amp;IF(ISBLANK(DruidPerformance),"",", Performance +"&amp;DruidPerformance)&amp;IF(ISBLANK(DruidPersuasion),"",", Persuasion +"&amp;DruidPersuasion)&amp;IF(ISBLANK(DruidReligion),"",", Religion +"&amp;DruidReligion)&amp;IF(ISBLANK(DruidSleightofHand),"",", Sleight of Hand +"&amp;DruidSleightofHand)&amp;IF(DruidStealth+AG18=0,"",", Stealth +"&amp;MAX(DruidStealth,AG18))&amp;IF(ISBLANK(DruidSurvival),"",", Survival +"&amp;DruidSurvival)</f>
        <v>, Perception +5</v>
      </c>
      <c r="AJ18" s="1" t="str">
        <f>RIGHT(AI18,LEN(AI18)-2)</f>
        <v>Perception +5</v>
      </c>
      <c r="AK1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8" s="1" t="s">
        <v>173</v>
      </c>
      <c r="AM18" s="1" t="s">
        <v>180</v>
      </c>
      <c r="AN18" s="3">
        <f>IF(DruidPerception+AF18=0,10+(ROUNDDOWN((AC18-10)/2,0)),10+MAX(DruidPerception,AF18))</f>
        <v>15</v>
      </c>
      <c r="AO18" s="1"/>
      <c r="AP18" s="1"/>
      <c r="AQ18" s="1"/>
      <c r="AR18" s="1"/>
      <c r="AS18" s="1"/>
      <c r="AT18" s="3" t="s">
        <v>161</v>
      </c>
      <c r="AU18" s="3" t="s">
        <v>150</v>
      </c>
      <c r="AV18" s="3" t="s">
        <v>442</v>
      </c>
      <c r="AW18" s="3" t="s">
        <v>173</v>
      </c>
      <c r="AX18" s="3" t="s">
        <v>161</v>
      </c>
      <c r="AY18" s="3">
        <v>4</v>
      </c>
      <c r="AZ18" s="3" t="s">
        <v>219</v>
      </c>
      <c r="BA18" s="3" t="s">
        <v>233</v>
      </c>
      <c r="BB18" s="3" t="s">
        <v>150</v>
      </c>
      <c r="BC18" s="3" t="s">
        <v>479</v>
      </c>
      <c r="BD18" s="3" t="s">
        <v>173</v>
      </c>
      <c r="BE18" s="3" t="s">
        <v>233</v>
      </c>
      <c r="BF18" s="3">
        <v>4</v>
      </c>
      <c r="BG18" s="3" t="s">
        <v>175</v>
      </c>
      <c r="BK18" s="3" t="s">
        <v>173</v>
      </c>
      <c r="BN18" s="3"/>
      <c r="BR18" s="3" t="s">
        <v>173</v>
      </c>
      <c r="BY18" s="3" t="s">
        <v>173</v>
      </c>
      <c r="CJ18" s="6">
        <v>0.25</v>
      </c>
      <c r="CK18" s="6">
        <f>IF(CJ18&lt;0.26,2,IF(CJ18&lt;0.51,4,IF(CJ18&lt;1.1,8,99)))</f>
        <v>2</v>
      </c>
      <c r="CL18" s="3">
        <f>IF(M18="Elemental",10,IF(CJ18&lt;2,2,CJ18*3))</f>
        <v>2</v>
      </c>
      <c r="CM18" s="3">
        <f>IF(W18&gt;0,8,0)</f>
        <v>0</v>
      </c>
      <c r="CN18" s="3">
        <f>IF(X18&gt;0,4,0)</f>
        <v>4</v>
      </c>
    </row>
    <row r="19" spans="1:92">
      <c r="A19" s="3" t="str">
        <f>IF(DruidLevel&lt;B19,"",CHAR(9)&amp;"&lt;monster&gt;"&amp;CHAR(13)&amp;CHAR(9)&amp;CHAR(9)&amp;"&lt;name&gt;"&amp;L19&amp;" (Wild Shape)&lt;/name&gt;"&amp;CHAR(13)&amp;CHAR(9)&amp;CHAR(9)&amp;"&lt;size&gt;"&amp;LEFT(P19,1)&amp;"&lt;/size&gt;"&amp;CHAR(13)&amp;CHAR(9)&amp;CHAR(9)&amp;"&lt;type&gt;"&amp;M19&amp;"&lt;/type&gt;"&amp;CHAR(13)&amp;CHAR(9)&amp;CHAR(9)&amp;"&lt;alignment&gt;"&amp;N19&amp;"&lt;/alignment&gt;"&amp;CHAR(13)&amp;CHAR(9)&amp;CHAR(9)&amp;"&lt;ac&gt;"&amp;Q19&amp;IF(ISBLANK(R19),""," ("&amp;R19&amp;")")&amp;"&lt;/ac&gt;"&amp;CHAR(13)&amp;CHAR(9)&amp;CHAR(9)&amp;"&lt;hp&gt;"&amp;S19&amp;"&lt;/hp&gt;"&amp;CHAR(13)&amp;CHAR(9)&amp;CHAR(9)&amp;"&lt;speed&gt;"&amp;E19&amp;"&lt;/speed&gt;"&amp;CHAR(13)&amp;CHAR(9)&amp;CHAR(9)&amp;"&lt;str&gt;"&amp;Y19&amp;"&lt;/str&gt;&lt;dex&gt;"&amp;Z19&amp;"&lt;/dex&gt;&lt;con&gt;"&amp;AA19&amp;"&lt;/con&gt;&lt;int&gt;"&amp;AB19&amp;"&lt;/int&gt;&lt;wis&gt;"&amp;AC19&amp;"&lt;/wis&gt;&lt;cha&gt;"&amp;AD19&amp;"&lt;/cha&gt;"&amp;CHAR(13)&amp;CHAR(9)&amp;CHAR(9)&amp;"&lt;save&gt;"&amp;AK19&amp;"&lt;/save&gt;"&amp;CHAR(13)&amp;CHAR(9)&amp;CHAR(9)&amp;"&lt;skill&gt;"&amp;AJ19&amp;"&lt;/skill&gt;"&amp;CHAR(13)&amp;CHAR(9)&amp;CHAR(9)&amp;"&lt;vulnerable&gt;"&amp;AO19&amp;"&lt;/vulnerable&gt;"&amp;CHAR(13)&amp;CHAR(9)&amp;CHAR(9)&amp;"&lt;resist&gt;"&amp;AP19&amp;"&lt;/resist&gt;"&amp;CHAR(13)&amp;CHAR(9)&amp;CHAR(9)&amp;"&lt;immune&gt;"&amp;AQ19&amp;"&lt;/immune&gt;"&amp;CHAR(13)&amp;CHAR(9)&amp;CHAR(9)&amp;"&lt;conditionImmune&gt;"&amp;AR19&amp;"&lt;/conditionImmune&gt;"&amp;CHAR(13)&amp;CHAR(9)&amp;CHAR(9)&amp;"&lt;senses&gt;"&amp;AM19&amp;"&lt;/senses&gt;"&amp;CHAR(13)&amp;CHAR(9)&amp;CHAR(9)&amp;"&lt;passive&gt;"&amp;AN19&amp;"&lt;/passive&gt;"&amp;CHAR(13)&amp;CHAR(9)&amp;CHAR(9)&amp;"&lt;languages&gt;"&amp;AS19&amp;"&lt;/languages&gt;"&amp;CHAR(13)&amp;CHAR(9)&amp;CHAR(9)&amp;"&lt;cr&gt;"&amp;O19&amp;"&lt;/cr&gt;"&amp;F19&amp;G19&amp;H19&amp;I19&amp;J19&amp;K19&amp;IF(C19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19" s="3">
        <f>IF(COTM=TRUE,MAX(CL19,CM19,CN19),MAX(CK19,CM19,CN19))</f>
        <v>4</v>
      </c>
      <c r="C19" s="11" t="str">
        <f>IF(COTM=FALSE,"",IF(DruidLevel&gt;5,"Y",""))</f>
        <v/>
      </c>
      <c r="D19" s="3" t="s">
        <v>173</v>
      </c>
      <c r="E19" s="3" t="str">
        <f>T19&amp;" ft."&amp;IF(U19+V19+W19+X19=0,"",", ")&amp;IF(ISBLANK(U19),"","burrow "&amp;U19&amp;" ft."&amp;IF(V19+W19+X19=0,"",", "))&amp;IF(ISBLANK(V19),"","climb "&amp;V19&amp;" ft."&amp;IF(W19+X19=0,"",", "))&amp;IF(ISBLANK(W19),"","fly "&amp;W19&amp;" ft."&amp;IF(X19=0,"",", "))&amp;IF(ISBLANK(X19),"","swim "&amp;X19&amp;" ft.")</f>
        <v>20 ft., swim 20 ft.</v>
      </c>
      <c r="F19" s="3" t="str">
        <f>IF(ISBLANK(AT19),"",CHAR(13)&amp;CHAR(9)&amp;CHAR(9)&amp;"&lt;"&amp;AU19&amp;"&gt;"&amp;CHAR(13)&amp;CHAR(9)&amp;CHAR(9)&amp;CHAR(9)&amp;"&lt;name&gt;"&amp;AT19&amp;"&lt;/name&gt;"&amp;CHAR(13)&amp;CHAR(9)&amp;CHAR(9)&amp;CHAR(9)&amp;"&lt;text&gt;"&amp;AV19&amp;"&lt;/text&gt;"&amp;IF(ISBLANK(AX19),"",CHAR(13)&amp;CHAR(9)&amp;CHAR(9)&amp;CHAR(9)&amp;"&lt;attack&gt;"&amp;AX19&amp;"|"&amp;AY19&amp;"|"&amp;AZ19&amp;"&lt;/attack&gt;")&amp;CHAR(13)&amp;CHAR(9)&amp;CHAR(9)&amp;"&lt;/"&amp;AU19&amp;"&gt;")</f>
        <v>_x000D_		&lt;trait&gt;_x000D_			&lt;name&gt;Amphibious&lt;/name&gt;_x000D_			&lt;text&gt;The crab can breathe air and water.&lt;/text&gt;_x000D_		&lt;/trait&gt;</v>
      </c>
      <c r="G19" s="3" t="str">
        <f>IF(ISBLANK(BA19),"",CHAR(13)&amp;CHAR(9)&amp;CHAR(9)&amp;"&lt;"&amp;BB19&amp;"&gt;"&amp;CHAR(13)&amp;CHAR(9)&amp;CHAR(9)&amp;CHAR(9)&amp;"&lt;name&gt;"&amp;BA19&amp;"&lt;/name&gt;"&amp;CHAR(13)&amp;CHAR(9)&amp;CHAR(9)&amp;CHAR(9)&amp;"&lt;text&gt;"&amp;BC19&amp;"&lt;/text&gt;"&amp;IF(ISBLANK(BE19),"",CHAR(13)&amp;CHAR(9)&amp;CHAR(9)&amp;CHAR(9)&amp;"&lt;attack&gt;"&amp;BE19&amp;"|"&amp;BF19&amp;"|"&amp;BG19&amp;"&lt;/attack&gt;")&amp;CHAR(13)&amp;CHAR(9)&amp;CHAR(9)&amp;"&lt;/"&amp;BB19&amp;"&gt;")</f>
        <v>_x000D_		&lt;action&gt;_x000D_			&lt;name&gt;Claw&lt;/name&gt;_x000D_			&lt;text&gt;Melee Weapon Attack: +0 to hit, reach 5 ft., one target. Hit: 1 bludgeoning damage.&lt;/text&gt;_x000D_			&lt;attack&gt;Claw|0|1&lt;/attack&gt;_x000D_		&lt;/action&gt;</v>
      </c>
      <c r="H19" s="3" t="str">
        <f>IF(ISBLANK(BH19),"",CHAR(13)&amp;CHAR(9)&amp;CHAR(9)&amp;"&lt;"&amp;BI19&amp;"&gt;"&amp;CHAR(13)&amp;CHAR(9)&amp;CHAR(9)&amp;CHAR(9)&amp;"&lt;name&gt;"&amp;BH19&amp;"&lt;/name&gt;"&amp;CHAR(13)&amp;CHAR(9)&amp;CHAR(9)&amp;CHAR(9)&amp;"&lt;text&gt;"&amp;BJ19&amp;"&lt;/text&gt;"&amp;IF(ISBLANK(BL19),"",CHAR(13)&amp;CHAR(9)&amp;CHAR(9)&amp;CHAR(9)&amp;"&lt;attack&gt;"&amp;BL19&amp;"|"&amp;BM19&amp;"|"&amp;BN19&amp;"&lt;/attack&gt;")&amp;CHAR(13)&amp;CHAR(9)&amp;CHAR(9)&amp;"&lt;/"&amp;BI19&amp;"&gt;")</f>
        <v/>
      </c>
      <c r="I19" s="3" t="str">
        <f>IF(ISBLANK(BO19),"",CHAR(13)&amp;CHAR(9)&amp;CHAR(9)&amp;"&lt;"&amp;BP19&amp;"&gt;"&amp;CHAR(13)&amp;CHAR(9)&amp;CHAR(9)&amp;CHAR(9)&amp;"&lt;name&gt;"&amp;BO19&amp;"&lt;/name&gt;"&amp;CHAR(13)&amp;CHAR(9)&amp;CHAR(9)&amp;CHAR(9)&amp;"&lt;text&gt;"&amp;BQ19&amp;"&lt;/text&gt;"&amp;IF(ISBLANK(BS19),"",CHAR(13)&amp;CHAR(9)&amp;CHAR(9)&amp;CHAR(9)&amp;"&lt;attack&gt;"&amp;BS19&amp;"|"&amp;BT19&amp;"|"&amp;BU19&amp;"&lt;/attack&gt;")&amp;CHAR(13)&amp;CHAR(9)&amp;CHAR(9)&amp;"&lt;/"&amp;BP19&amp;"&gt;")</f>
        <v/>
      </c>
      <c r="J19" s="3" t="str">
        <f>IF(ISBLANK(BV19),"",CHAR(13)&amp;CHAR(9)&amp;CHAR(9)&amp;"&lt;"&amp;BW19&amp;"&gt;"&amp;CHAR(13)&amp;CHAR(9)&amp;CHAR(9)&amp;CHAR(9)&amp;"&lt;name&gt;"&amp;BV19&amp;"&lt;/name&gt;"&amp;CHAR(13)&amp;CHAR(9)&amp;CHAR(9)&amp;CHAR(9)&amp;"&lt;text&gt;"&amp;BX19&amp;"&lt;/text&gt;"&amp;IF(ISBLANK(BZ19),"",CHAR(13)&amp;CHAR(9)&amp;CHAR(9)&amp;CHAR(9)&amp;"&lt;attack&gt;"&amp;BZ19&amp;"|"&amp;CA19&amp;"|"&amp;CB19&amp;"&lt;/attack&gt;")&amp;CHAR(13)&amp;CHAR(9)&amp;CHAR(9)&amp;"&lt;/"&amp;BW19&amp;"&gt;")</f>
        <v/>
      </c>
      <c r="K19" s="3" t="str">
        <f>IF(ISBLANK(CC19),"",CHAR(13)&amp;CHAR(9)&amp;CHAR(9)&amp;"&lt;"&amp;CD19&amp;"&gt;"&amp;CHAR(13)&amp;CHAR(9)&amp;CHAR(9)&amp;CHAR(9)&amp;"&lt;name&gt;"&amp;CC19&amp;"&lt;/name&gt;"&amp;CHAR(13)&amp;CHAR(9)&amp;CHAR(9)&amp;CHAR(9)&amp;"&lt;text&gt;"&amp;CE19&amp;"&lt;/text&gt;"&amp;IF(ISBLANK(CG19),"",CHAR(13)&amp;CHAR(9)&amp;CHAR(9)&amp;CHAR(9)&amp;"&lt;attack&gt;"&amp;CG19&amp;"|"&amp;CH19&amp;"|"&amp;CI19&amp;"&lt;/attack&gt;")&amp;CHAR(13)&amp;CHAR(9)&amp;CHAR(9)&amp;"&lt;/"&amp;CD19&amp;"&gt;")</f>
        <v/>
      </c>
      <c r="L19" s="1" t="s">
        <v>58</v>
      </c>
      <c r="M19" s="1" t="s">
        <v>275</v>
      </c>
      <c r="N19" s="1">
        <f>DruidAlignment</f>
        <v>0</v>
      </c>
      <c r="O19" s="2">
        <v>0</v>
      </c>
      <c r="P19" s="1" t="s">
        <v>0</v>
      </c>
      <c r="Q19" s="1">
        <v>11</v>
      </c>
      <c r="R19" s="1" t="s">
        <v>405</v>
      </c>
      <c r="S19" s="1">
        <v>2</v>
      </c>
      <c r="T19" s="1">
        <v>20</v>
      </c>
      <c r="X19" s="1">
        <v>20</v>
      </c>
      <c r="Y19" s="1">
        <v>2</v>
      </c>
      <c r="Z19" s="1">
        <v>11</v>
      </c>
      <c r="AA19" s="1">
        <v>10</v>
      </c>
      <c r="AB19" s="10">
        <f>DruidInt</f>
        <v>0</v>
      </c>
      <c r="AC19" s="10">
        <f>DruidWis</f>
        <v>0</v>
      </c>
      <c r="AD19" s="10">
        <f>DruidCha</f>
        <v>0</v>
      </c>
      <c r="AE19" s="12"/>
      <c r="AF19" s="12">
        <v>2</v>
      </c>
      <c r="AG19" s="12">
        <v>2</v>
      </c>
      <c r="AH19" s="12" t="s">
        <v>173</v>
      </c>
      <c r="AI19" s="12" t="str">
        <f>IF(ISBLANK(DruidAcrobatics),"",", Acrobatics +"&amp;DruidAcrobatics)&amp;IF(ISBLANK(DruidAnimalHandling),"",", Animal Handling +"&amp;DruidAnimalHandling)&amp;IF(ISBLANK(DruidArcana),"",", Arcana +"&amp;DruidArcana)&amp;IF(DruidAthletics+AE19=0,"",", Athletics +"&amp;MAX(DruidAthletics,AE19))&amp;IF(ISBLANK(DruidDeception),"",",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+"&amp;DruidNature)&amp;IF(DruidPerception+AF19=0,"",", Perception +"&amp;MAX(DruidPerception,AF19))&amp;IF(ISBLANK(DruidPerformance),"",", Performance +"&amp;DruidPerformance)&amp;IF(ISBLANK(DruidPersuasion),"",", Persuasion +"&amp;DruidPersuasion)&amp;IF(ISBLANK(DruidReligion),"",", Religion +"&amp;DruidReligion)&amp;IF(ISBLANK(DruidSleightofHand),"",", Sleight of Hand +"&amp;DruidSleightofHand)&amp;IF(DruidStealth+AG19=0,"",", Stealth +"&amp;MAX(DruidStealth,AG19))&amp;IF(ISBLANK(DruidSurvival),"",", Survival +"&amp;DruidSurvival)</f>
        <v>, Perception +2, Stealth +2</v>
      </c>
      <c r="AJ19" s="1" t="str">
        <f>RIGHT(AI19,LEN(AI19)-2)</f>
        <v>Perception +2, Stealth +2</v>
      </c>
      <c r="AK1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19" s="1" t="s">
        <v>173</v>
      </c>
      <c r="AM19" s="1" t="s">
        <v>181</v>
      </c>
      <c r="AN19" s="3">
        <f>IF(DruidPerception+AF19=0,10+(ROUNDDOWN((AC19-10)/2,0)),10+MAX(DruidPerception,AF19))</f>
        <v>12</v>
      </c>
      <c r="AO19" s="1"/>
      <c r="AP19" s="1"/>
      <c r="AQ19" s="1"/>
      <c r="AR19" s="1"/>
      <c r="AS19" s="1"/>
      <c r="AT19" s="3" t="s">
        <v>59</v>
      </c>
      <c r="AU19" s="3" t="s">
        <v>148</v>
      </c>
      <c r="AV19" s="3" t="s">
        <v>234</v>
      </c>
      <c r="AW19" s="3" t="s">
        <v>173</v>
      </c>
      <c r="AZ19" s="3"/>
      <c r="BA19" s="3" t="s">
        <v>164</v>
      </c>
      <c r="BB19" s="3" t="s">
        <v>150</v>
      </c>
      <c r="BC19" s="3" t="s">
        <v>235</v>
      </c>
      <c r="BD19" s="3" t="s">
        <v>173</v>
      </c>
      <c r="BE19" s="3" t="s">
        <v>164</v>
      </c>
      <c r="BF19" s="3">
        <v>0</v>
      </c>
      <c r="BG19" s="3">
        <v>1</v>
      </c>
      <c r="BK19" s="3" t="s">
        <v>173</v>
      </c>
      <c r="BN19" s="3"/>
      <c r="BR19" s="3" t="s">
        <v>173</v>
      </c>
      <c r="BY19" s="3" t="s">
        <v>173</v>
      </c>
      <c r="CJ19" s="6">
        <v>0</v>
      </c>
      <c r="CK19" s="6">
        <f>IF(CJ19&lt;0.26,2,IF(CJ19&lt;0.51,4,IF(CJ19&lt;1.1,8,99)))</f>
        <v>2</v>
      </c>
      <c r="CL19" s="3">
        <f>IF(M19="Elemental",10,IF(CJ19&lt;2,2,CJ19*3))</f>
        <v>2</v>
      </c>
      <c r="CM19" s="3">
        <f>IF(W19&gt;0,8,0)</f>
        <v>0</v>
      </c>
      <c r="CN19" s="3">
        <f>IF(X19&gt;0,4,0)</f>
        <v>4</v>
      </c>
    </row>
    <row r="20" spans="1:92">
      <c r="A20" s="3" t="str">
        <f>IF(DruidLevel&lt;B20,"",CHAR(9)&amp;"&lt;monster&gt;"&amp;CHAR(13)&amp;CHAR(9)&amp;CHAR(9)&amp;"&lt;name&gt;"&amp;L20&amp;" (Wild Shape)&lt;/name&gt;"&amp;CHAR(13)&amp;CHAR(9)&amp;CHAR(9)&amp;"&lt;size&gt;"&amp;LEFT(P20,1)&amp;"&lt;/size&gt;"&amp;CHAR(13)&amp;CHAR(9)&amp;CHAR(9)&amp;"&lt;type&gt;"&amp;M20&amp;"&lt;/type&gt;"&amp;CHAR(13)&amp;CHAR(9)&amp;CHAR(9)&amp;"&lt;alignment&gt;"&amp;N20&amp;"&lt;/alignment&gt;"&amp;CHAR(13)&amp;CHAR(9)&amp;CHAR(9)&amp;"&lt;ac&gt;"&amp;Q20&amp;IF(ISBLANK(R20),""," ("&amp;R20&amp;")")&amp;"&lt;/ac&gt;"&amp;CHAR(13)&amp;CHAR(9)&amp;CHAR(9)&amp;"&lt;hp&gt;"&amp;S20&amp;"&lt;/hp&gt;"&amp;CHAR(13)&amp;CHAR(9)&amp;CHAR(9)&amp;"&lt;speed&gt;"&amp;E20&amp;"&lt;/speed&gt;"&amp;CHAR(13)&amp;CHAR(9)&amp;CHAR(9)&amp;"&lt;str&gt;"&amp;Y20&amp;"&lt;/str&gt;&lt;dex&gt;"&amp;Z20&amp;"&lt;/dex&gt;&lt;con&gt;"&amp;AA20&amp;"&lt;/con&gt;&lt;int&gt;"&amp;AB20&amp;"&lt;/int&gt;&lt;wis&gt;"&amp;AC20&amp;"&lt;/wis&gt;&lt;cha&gt;"&amp;AD20&amp;"&lt;/cha&gt;"&amp;CHAR(13)&amp;CHAR(9)&amp;CHAR(9)&amp;"&lt;save&gt;"&amp;AK20&amp;"&lt;/save&gt;"&amp;CHAR(13)&amp;CHAR(9)&amp;CHAR(9)&amp;"&lt;skill&gt;"&amp;AJ20&amp;"&lt;/skill&gt;"&amp;CHAR(13)&amp;CHAR(9)&amp;CHAR(9)&amp;"&lt;vulnerable&gt;"&amp;AO20&amp;"&lt;/vulnerable&gt;"&amp;CHAR(13)&amp;CHAR(9)&amp;CHAR(9)&amp;"&lt;resist&gt;"&amp;AP20&amp;"&lt;/resist&gt;"&amp;CHAR(13)&amp;CHAR(9)&amp;CHAR(9)&amp;"&lt;immune&gt;"&amp;AQ20&amp;"&lt;/immune&gt;"&amp;CHAR(13)&amp;CHAR(9)&amp;CHAR(9)&amp;"&lt;conditionImmune&gt;"&amp;AR20&amp;"&lt;/conditionImmune&gt;"&amp;CHAR(13)&amp;CHAR(9)&amp;CHAR(9)&amp;"&lt;senses&gt;"&amp;AM20&amp;"&lt;/senses&gt;"&amp;CHAR(13)&amp;CHAR(9)&amp;CHAR(9)&amp;"&lt;passive&gt;"&amp;AN20&amp;"&lt;/passive&gt;"&amp;CHAR(13)&amp;CHAR(9)&amp;CHAR(9)&amp;"&lt;languages&gt;"&amp;AS20&amp;"&lt;/languages&gt;"&amp;CHAR(13)&amp;CHAR(9)&amp;CHAR(9)&amp;"&lt;cr&gt;"&amp;O20&amp;"&lt;/cr&gt;"&amp;F20&amp;G20&amp;H20&amp;I20&amp;J20&amp;K20&amp;IF(C20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0" s="3">
        <f>IF(COTM=TRUE,MAX(CL20,CM20,CN20),MAX(CK20,CM20,CN20))</f>
        <v>4</v>
      </c>
      <c r="C20" s="11" t="str">
        <f>IF(COTM=FALSE,"",IF(DruidLevel&gt;5,"Y",""))</f>
        <v/>
      </c>
      <c r="D20" s="3" t="s">
        <v>173</v>
      </c>
      <c r="E20" s="3" t="str">
        <f>T20&amp;" ft."&amp;IF(U20+V20+W20+X20=0,"",", ")&amp;IF(ISBLANK(U20),"","burrow "&amp;U20&amp;" ft."&amp;IF(V20+W20+X20=0,"",", "))&amp;IF(ISBLANK(V20),"","climb "&amp;V20&amp;" ft."&amp;IF(W20+X20=0,"",", "))&amp;IF(ISBLANK(W20),"","fly "&amp;W20&amp;" ft."&amp;IF(X20=0,"",", "))&amp;IF(ISBLANK(X20),"","swim "&amp;X20&amp;" ft.")</f>
        <v>20 ft., swim 20 ft.</v>
      </c>
      <c r="F20" s="3" t="str">
        <f>IF(ISBLANK(AT20),"",CHAR(13)&amp;CHAR(9)&amp;CHAR(9)&amp;"&lt;"&amp;AU20&amp;"&gt;"&amp;CHAR(13)&amp;CHAR(9)&amp;CHAR(9)&amp;CHAR(9)&amp;"&lt;name&gt;"&amp;AT20&amp;"&lt;/name&gt;"&amp;CHAR(13)&amp;CHAR(9)&amp;CHAR(9)&amp;CHAR(9)&amp;"&lt;text&gt;"&amp;AV20&amp;"&lt;/text&gt;"&amp;IF(ISBLANK(AX20),"",CHAR(13)&amp;CHAR(9)&amp;CHAR(9)&amp;CHAR(9)&amp;"&lt;attack&gt;"&amp;AX20&amp;"|"&amp;AY20&amp;"|"&amp;AZ20&amp;"&lt;/attack&gt;")&amp;CHAR(13)&amp;CHAR(9)&amp;CHAR(9)&amp;"&lt;/"&amp;AU20&amp;"&gt;")</f>
        <v>_x000D_		&lt;trait&gt;_x000D_			&lt;name&gt;Hold Breath&lt;/name&gt;_x000D_			&lt;text&gt;The crocodile can hold its breath for 15 minutes.&lt;/text&gt;_x000D_		&lt;/trait&gt;</v>
      </c>
      <c r="G20" s="3" t="str">
        <f>IF(ISBLANK(BA20),"",CHAR(13)&amp;CHAR(9)&amp;CHAR(9)&amp;"&lt;"&amp;BB20&amp;"&gt;"&amp;CHAR(13)&amp;CHAR(9)&amp;CHAR(9)&amp;CHAR(9)&amp;"&lt;name&gt;"&amp;BA20&amp;"&lt;/name&gt;"&amp;CHAR(13)&amp;CHAR(9)&amp;CHAR(9)&amp;CHAR(9)&amp;"&lt;text&gt;"&amp;BC20&amp;"&lt;/text&gt;"&amp;IF(ISBLANK(BE20),"",CHAR(13)&amp;CHAR(9)&amp;CHAR(9)&amp;CHAR(9)&amp;"&lt;attack&gt;"&amp;BE20&amp;"|"&amp;BF20&amp;"|"&amp;BG20&amp;"&lt;/attack&gt;")&amp;CHAR(13)&amp;CHAR(9)&amp;CHAR(9)&amp;"&lt;/"&amp;BB20&amp;"&gt;")</f>
        <v>_x000D_		&lt;action&gt;_x000D_			&lt;name&gt;Bite&lt;/name&gt;_x000D_			&lt;text&gt;Melee Weapon Attack: +4 to hit, reach 5 ft., one creature. Hit: 7 (1d10+2) piercing damage, and the target is grappled (escape DC 12). Until this grapple ends, the target is restrained, and the crocodile can't bite another target&lt;/text&gt;_x000D_			&lt;attack&gt;Bite|4|1d10+2&lt;/attack&gt;_x000D_		&lt;/action&gt;</v>
      </c>
      <c r="H20" s="3" t="str">
        <f>IF(ISBLANK(BH20),"",CHAR(13)&amp;CHAR(9)&amp;CHAR(9)&amp;"&lt;"&amp;BI20&amp;"&gt;"&amp;CHAR(13)&amp;CHAR(9)&amp;CHAR(9)&amp;CHAR(9)&amp;"&lt;name&gt;"&amp;BH20&amp;"&lt;/name&gt;"&amp;CHAR(13)&amp;CHAR(9)&amp;CHAR(9)&amp;CHAR(9)&amp;"&lt;text&gt;"&amp;BJ20&amp;"&lt;/text&gt;"&amp;IF(ISBLANK(BL20),"",CHAR(13)&amp;CHAR(9)&amp;CHAR(9)&amp;CHAR(9)&amp;"&lt;attack&gt;"&amp;BL20&amp;"|"&amp;BM20&amp;"|"&amp;BN20&amp;"&lt;/attack&gt;")&amp;CHAR(13)&amp;CHAR(9)&amp;CHAR(9)&amp;"&lt;/"&amp;BI20&amp;"&gt;")</f>
        <v/>
      </c>
      <c r="I20" s="3" t="str">
        <f>IF(ISBLANK(BO20),"",CHAR(13)&amp;CHAR(9)&amp;CHAR(9)&amp;"&lt;"&amp;BP20&amp;"&gt;"&amp;CHAR(13)&amp;CHAR(9)&amp;CHAR(9)&amp;CHAR(9)&amp;"&lt;name&gt;"&amp;BO20&amp;"&lt;/name&gt;"&amp;CHAR(13)&amp;CHAR(9)&amp;CHAR(9)&amp;CHAR(9)&amp;"&lt;text&gt;"&amp;BQ20&amp;"&lt;/text&gt;"&amp;IF(ISBLANK(BS20),"",CHAR(13)&amp;CHAR(9)&amp;CHAR(9)&amp;CHAR(9)&amp;"&lt;attack&gt;"&amp;BS20&amp;"|"&amp;BT20&amp;"|"&amp;BU20&amp;"&lt;/attack&gt;")&amp;CHAR(13)&amp;CHAR(9)&amp;CHAR(9)&amp;"&lt;/"&amp;BP20&amp;"&gt;")</f>
        <v/>
      </c>
      <c r="J20" s="3" t="str">
        <f>IF(ISBLANK(BV20),"",CHAR(13)&amp;CHAR(9)&amp;CHAR(9)&amp;"&lt;"&amp;BW20&amp;"&gt;"&amp;CHAR(13)&amp;CHAR(9)&amp;CHAR(9)&amp;CHAR(9)&amp;"&lt;name&gt;"&amp;BV20&amp;"&lt;/name&gt;"&amp;CHAR(13)&amp;CHAR(9)&amp;CHAR(9)&amp;CHAR(9)&amp;"&lt;text&gt;"&amp;BX20&amp;"&lt;/text&gt;"&amp;IF(ISBLANK(BZ20),"",CHAR(13)&amp;CHAR(9)&amp;CHAR(9)&amp;CHAR(9)&amp;"&lt;attack&gt;"&amp;BZ20&amp;"|"&amp;CA20&amp;"|"&amp;CB20&amp;"&lt;/attack&gt;")&amp;CHAR(13)&amp;CHAR(9)&amp;CHAR(9)&amp;"&lt;/"&amp;BW20&amp;"&gt;")</f>
        <v/>
      </c>
      <c r="K20" s="3" t="str">
        <f>IF(ISBLANK(CC20),"",CHAR(13)&amp;CHAR(9)&amp;CHAR(9)&amp;"&lt;"&amp;CD20&amp;"&gt;"&amp;CHAR(13)&amp;CHAR(9)&amp;CHAR(9)&amp;CHAR(9)&amp;"&lt;name&gt;"&amp;CC20&amp;"&lt;/name&gt;"&amp;CHAR(13)&amp;CHAR(9)&amp;CHAR(9)&amp;CHAR(9)&amp;"&lt;text&gt;"&amp;CE20&amp;"&lt;/text&gt;"&amp;IF(ISBLANK(CG20),"",CHAR(13)&amp;CHAR(9)&amp;CHAR(9)&amp;CHAR(9)&amp;"&lt;attack&gt;"&amp;CG20&amp;"|"&amp;CH20&amp;"|"&amp;CI20&amp;"&lt;/attack&gt;")&amp;CHAR(13)&amp;CHAR(9)&amp;CHAR(9)&amp;"&lt;/"&amp;CD20&amp;"&gt;")</f>
        <v/>
      </c>
      <c r="L20" s="1" t="s">
        <v>70</v>
      </c>
      <c r="M20" s="1" t="s">
        <v>275</v>
      </c>
      <c r="N20" s="1">
        <f>DruidAlignment</f>
        <v>0</v>
      </c>
      <c r="O20" s="2" t="s">
        <v>206</v>
      </c>
      <c r="P20" s="1" t="s">
        <v>2</v>
      </c>
      <c r="Q20" s="1">
        <v>12</v>
      </c>
      <c r="R20" s="1" t="s">
        <v>405</v>
      </c>
      <c r="S20" s="1">
        <v>19</v>
      </c>
      <c r="T20" s="1">
        <v>20</v>
      </c>
      <c r="X20" s="1">
        <v>20</v>
      </c>
      <c r="Y20" s="1">
        <v>15</v>
      </c>
      <c r="Z20" s="1">
        <v>10</v>
      </c>
      <c r="AA20" s="1">
        <v>13</v>
      </c>
      <c r="AB20" s="10">
        <f>DruidInt</f>
        <v>0</v>
      </c>
      <c r="AC20" s="10">
        <f>DruidWis</f>
        <v>0</v>
      </c>
      <c r="AD20" s="10">
        <f>DruidCha</f>
        <v>0</v>
      </c>
      <c r="AE20" s="12"/>
      <c r="AF20" s="12"/>
      <c r="AG20" s="12">
        <v>2</v>
      </c>
      <c r="AH20" s="12" t="s">
        <v>173</v>
      </c>
      <c r="AI20" s="12" t="str">
        <f>IF(ISBLANK(DruidAcrobatics),"",", Acrobatics +"&amp;DruidAcrobatics)&amp;IF(ISBLANK(DruidAnimalHandling),"",", Animal Handling +"&amp;DruidAnimalHandling)&amp;IF(ISBLANK(DruidArcana),"",", Arcana +"&amp;DruidArcana)&amp;IF(DruidAthletics+AE20=0,"",", Athletics +"&amp;MAX(DruidAthletics,AE20))&amp;IF(ISBLANK(DruidDeception),"",",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+"&amp;DruidNature)&amp;IF(DruidPerception+AF20=0,"",", Perception +"&amp;MAX(DruidPerception,AF20))&amp;IF(ISBLANK(DruidPerformance),"",", Performance +"&amp;DruidPerformance)&amp;IF(ISBLANK(DruidPersuasion),"",", Persuasion +"&amp;DruidPersuasion)&amp;IF(ISBLANK(DruidReligion),"",", Religion +"&amp;DruidReligion)&amp;IF(ISBLANK(DruidSleightofHand),"",", Sleight of Hand +"&amp;DruidSleightofHand)&amp;IF(DruidStealth+AG20=0,"",", Stealth +"&amp;MAX(DruidStealth,AG20))&amp;IF(ISBLANK(DruidSurvival),"",", Survival +"&amp;DruidSurvival)</f>
        <v>, Stealth +2</v>
      </c>
      <c r="AJ20" s="1" t="str">
        <f>RIGHT(AI20,LEN(AI20)-2)</f>
        <v>Stealth +2</v>
      </c>
      <c r="AK2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0" s="1" t="s">
        <v>173</v>
      </c>
      <c r="AN20" s="3">
        <f>IF(DruidPerception+AF20=0,10+(ROUNDDOWN((AC20-10)/2,0)),10+MAX(DruidPerception,AF20))</f>
        <v>5</v>
      </c>
      <c r="AT20" s="3" t="s">
        <v>71</v>
      </c>
      <c r="AU20" s="3" t="s">
        <v>148</v>
      </c>
      <c r="AV20" s="3" t="s">
        <v>236</v>
      </c>
      <c r="AW20" s="3" t="s">
        <v>173</v>
      </c>
      <c r="AZ20" s="3"/>
      <c r="BA20" s="3" t="s">
        <v>161</v>
      </c>
      <c r="BB20" s="3" t="s">
        <v>150</v>
      </c>
      <c r="BC20" s="3" t="s">
        <v>480</v>
      </c>
      <c r="BD20" s="3" t="s">
        <v>173</v>
      </c>
      <c r="BE20" s="3" t="s">
        <v>161</v>
      </c>
      <c r="BF20" s="3">
        <v>4</v>
      </c>
      <c r="BG20" s="3" t="s">
        <v>237</v>
      </c>
      <c r="BK20" s="3" t="s">
        <v>173</v>
      </c>
      <c r="BN20" s="3"/>
      <c r="BR20" s="3" t="s">
        <v>173</v>
      </c>
      <c r="BY20" s="3" t="s">
        <v>173</v>
      </c>
      <c r="CJ20" s="6">
        <v>0.5</v>
      </c>
      <c r="CK20" s="6">
        <f>IF(CJ20&lt;0.26,2,IF(CJ20&lt;0.51,4,IF(CJ20&lt;1.1,8,99)))</f>
        <v>4</v>
      </c>
      <c r="CL20" s="3">
        <f>IF(M20="Elemental",10,IF(CJ20&lt;2,2,CJ20*3))</f>
        <v>2</v>
      </c>
      <c r="CM20" s="3">
        <f>IF(W20&gt;0,8,0)</f>
        <v>0</v>
      </c>
      <c r="CN20" s="3">
        <f>IF(X20&gt;0,4,0)</f>
        <v>4</v>
      </c>
    </row>
    <row r="21" spans="1:92">
      <c r="A21" s="3" t="str">
        <f>IF(DruidLevel&lt;B21,"",CHAR(9)&amp;"&lt;monster&gt;"&amp;CHAR(13)&amp;CHAR(9)&amp;CHAR(9)&amp;"&lt;name&gt;"&amp;L21&amp;" (Wild Shape)&lt;/name&gt;"&amp;CHAR(13)&amp;CHAR(9)&amp;CHAR(9)&amp;"&lt;size&gt;"&amp;LEFT(P21,1)&amp;"&lt;/size&gt;"&amp;CHAR(13)&amp;CHAR(9)&amp;CHAR(9)&amp;"&lt;type&gt;"&amp;M21&amp;"&lt;/type&gt;"&amp;CHAR(13)&amp;CHAR(9)&amp;CHAR(9)&amp;"&lt;alignment&gt;"&amp;N21&amp;"&lt;/alignment&gt;"&amp;CHAR(13)&amp;CHAR(9)&amp;CHAR(9)&amp;"&lt;ac&gt;"&amp;Q21&amp;IF(ISBLANK(R21),""," ("&amp;R21&amp;")")&amp;"&lt;/ac&gt;"&amp;CHAR(13)&amp;CHAR(9)&amp;CHAR(9)&amp;"&lt;hp&gt;"&amp;S21&amp;"&lt;/hp&gt;"&amp;CHAR(13)&amp;CHAR(9)&amp;CHAR(9)&amp;"&lt;speed&gt;"&amp;E21&amp;"&lt;/speed&gt;"&amp;CHAR(13)&amp;CHAR(9)&amp;CHAR(9)&amp;"&lt;str&gt;"&amp;Y21&amp;"&lt;/str&gt;&lt;dex&gt;"&amp;Z21&amp;"&lt;/dex&gt;&lt;con&gt;"&amp;AA21&amp;"&lt;/con&gt;&lt;int&gt;"&amp;AB21&amp;"&lt;/int&gt;&lt;wis&gt;"&amp;AC21&amp;"&lt;/wis&gt;&lt;cha&gt;"&amp;AD21&amp;"&lt;/cha&gt;"&amp;CHAR(13)&amp;CHAR(9)&amp;CHAR(9)&amp;"&lt;save&gt;"&amp;AK21&amp;"&lt;/save&gt;"&amp;CHAR(13)&amp;CHAR(9)&amp;CHAR(9)&amp;"&lt;skill&gt;"&amp;AJ21&amp;"&lt;/skill&gt;"&amp;CHAR(13)&amp;CHAR(9)&amp;CHAR(9)&amp;"&lt;vulnerable&gt;"&amp;AO21&amp;"&lt;/vulnerable&gt;"&amp;CHAR(13)&amp;CHAR(9)&amp;CHAR(9)&amp;"&lt;resist&gt;"&amp;AP21&amp;"&lt;/resist&gt;"&amp;CHAR(13)&amp;CHAR(9)&amp;CHAR(9)&amp;"&lt;immune&gt;"&amp;AQ21&amp;"&lt;/immune&gt;"&amp;CHAR(13)&amp;CHAR(9)&amp;CHAR(9)&amp;"&lt;conditionImmune&gt;"&amp;AR21&amp;"&lt;/conditionImmune&gt;"&amp;CHAR(13)&amp;CHAR(9)&amp;CHAR(9)&amp;"&lt;senses&gt;"&amp;AM21&amp;"&lt;/senses&gt;"&amp;CHAR(13)&amp;CHAR(9)&amp;CHAR(9)&amp;"&lt;passive&gt;"&amp;AN21&amp;"&lt;/passive&gt;"&amp;CHAR(13)&amp;CHAR(9)&amp;CHAR(9)&amp;"&lt;languages&gt;"&amp;AS21&amp;"&lt;/languages&gt;"&amp;CHAR(13)&amp;CHAR(9)&amp;CHAR(9)&amp;"&lt;cr&gt;"&amp;O21&amp;"&lt;/cr&gt;"&amp;F21&amp;G21&amp;H21&amp;I21&amp;J21&amp;K21&amp;IF(C21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1" s="3">
        <f>IF(COTM=TRUE,MAX(CL21,CM21,CN21),MAX(CK21,CM21,CN21))</f>
        <v>2</v>
      </c>
      <c r="C21" s="11" t="str">
        <f>IF(COTM=FALSE,"",IF(DruidLevel&gt;5,"Y",""))</f>
        <v/>
      </c>
      <c r="D21" s="3" t="s">
        <v>173</v>
      </c>
      <c r="E21" s="3" t="str">
        <f>T21&amp;" ft."&amp;IF(U21+V21+W21+X21=0,"",", ")&amp;IF(ISBLANK(U21),"","burrow "&amp;U21&amp;" ft."&amp;IF(V21+W21+X21=0,"",", "))&amp;IF(ISBLANK(V21),"","climb "&amp;V21&amp;" ft."&amp;IF(W21+X21=0,"",", "))&amp;IF(ISBLANK(W21),"","fly "&amp;W21&amp;" ft."&amp;IF(X21=0,"",", "))&amp;IF(ISBLANK(X21),"","swim "&amp;X21&amp;" ft.")</f>
        <v>50 ft.</v>
      </c>
      <c r="F21" s="3" t="str">
        <f>IF(ISBLANK(AT21),"",CHAR(13)&amp;CHAR(9)&amp;CHAR(9)&amp;"&lt;"&amp;AU21&amp;"&gt;"&amp;CHAR(13)&amp;CHAR(9)&amp;CHAR(9)&amp;CHAR(9)&amp;"&lt;name&gt;"&amp;AT21&amp;"&lt;/name&gt;"&amp;CHAR(13)&amp;CHAR(9)&amp;CHAR(9)&amp;CHAR(9)&amp;"&lt;text&gt;"&amp;AV21&amp;"&lt;/text&gt;"&amp;IF(ISBLANK(AX21),"",CHAR(13)&amp;CHAR(9)&amp;CHAR(9)&amp;CHAR(9)&amp;"&lt;attack&gt;"&amp;AX21&amp;"|"&amp;AY21&amp;"|"&amp;AZ21&amp;"&lt;/attack&gt;")&amp;CHAR(13)&amp;CHAR(9)&amp;CHAR(9)&amp;"&lt;/"&amp;AU21&amp;"&gt;")</f>
        <v>_x000D_		&lt;action&gt;_x000D_			&lt;name&gt;Bite&lt;/name&gt;_x000D_			&lt;text&gt;Melee Weapon Attack: +2 to hit, reach 5 ft., one target. Hit: 2 (1d4) piercing damage.&lt;/text&gt;_x000D_			&lt;attack&gt;Bite|2|1d4&lt;/attack&gt;_x000D_		&lt;/action&gt;</v>
      </c>
      <c r="G21" s="3" t="str">
        <f>IF(ISBLANK(BA21),"",CHAR(13)&amp;CHAR(9)&amp;CHAR(9)&amp;"&lt;"&amp;BB21&amp;"&gt;"&amp;CHAR(13)&amp;CHAR(9)&amp;CHAR(9)&amp;CHAR(9)&amp;"&lt;name&gt;"&amp;BA21&amp;"&lt;/name&gt;"&amp;CHAR(13)&amp;CHAR(9)&amp;CHAR(9)&amp;CHAR(9)&amp;"&lt;text&gt;"&amp;BC21&amp;"&lt;/text&gt;"&amp;IF(ISBLANK(BE21),"",CHAR(13)&amp;CHAR(9)&amp;CHAR(9)&amp;CHAR(9)&amp;"&lt;attack&gt;"&amp;BE21&amp;"|"&amp;BF21&amp;"|"&amp;BG21&amp;"&lt;/attack&gt;")&amp;CHAR(13)&amp;CHAR(9)&amp;CHAR(9)&amp;"&lt;/"&amp;BB21&amp;"&gt;")</f>
        <v/>
      </c>
      <c r="H21" s="3" t="str">
        <f>IF(ISBLANK(BH21),"",CHAR(13)&amp;CHAR(9)&amp;CHAR(9)&amp;"&lt;"&amp;BI21&amp;"&gt;"&amp;CHAR(13)&amp;CHAR(9)&amp;CHAR(9)&amp;CHAR(9)&amp;"&lt;name&gt;"&amp;BH21&amp;"&lt;/name&gt;"&amp;CHAR(13)&amp;CHAR(9)&amp;CHAR(9)&amp;CHAR(9)&amp;"&lt;text&gt;"&amp;BJ21&amp;"&lt;/text&gt;"&amp;IF(ISBLANK(BL21),"",CHAR(13)&amp;CHAR(9)&amp;CHAR(9)&amp;CHAR(9)&amp;"&lt;attack&gt;"&amp;BL21&amp;"|"&amp;BM21&amp;"|"&amp;BN21&amp;"&lt;/attack&gt;")&amp;CHAR(13)&amp;CHAR(9)&amp;CHAR(9)&amp;"&lt;/"&amp;BI21&amp;"&gt;")</f>
        <v/>
      </c>
      <c r="I21" s="3" t="str">
        <f>IF(ISBLANK(BO21),"",CHAR(13)&amp;CHAR(9)&amp;CHAR(9)&amp;"&lt;"&amp;BP21&amp;"&gt;"&amp;CHAR(13)&amp;CHAR(9)&amp;CHAR(9)&amp;CHAR(9)&amp;"&lt;name&gt;"&amp;BO21&amp;"&lt;/name&gt;"&amp;CHAR(13)&amp;CHAR(9)&amp;CHAR(9)&amp;CHAR(9)&amp;"&lt;text&gt;"&amp;BQ21&amp;"&lt;/text&gt;"&amp;IF(ISBLANK(BS21),"",CHAR(13)&amp;CHAR(9)&amp;CHAR(9)&amp;CHAR(9)&amp;"&lt;attack&gt;"&amp;BS21&amp;"|"&amp;BT21&amp;"|"&amp;BU21&amp;"&lt;/attack&gt;")&amp;CHAR(13)&amp;CHAR(9)&amp;CHAR(9)&amp;"&lt;/"&amp;BP21&amp;"&gt;")</f>
        <v/>
      </c>
      <c r="J21" s="3" t="str">
        <f>IF(ISBLANK(BV21),"",CHAR(13)&amp;CHAR(9)&amp;CHAR(9)&amp;"&lt;"&amp;BW21&amp;"&gt;"&amp;CHAR(13)&amp;CHAR(9)&amp;CHAR(9)&amp;CHAR(9)&amp;"&lt;name&gt;"&amp;BV21&amp;"&lt;/name&gt;"&amp;CHAR(13)&amp;CHAR(9)&amp;CHAR(9)&amp;CHAR(9)&amp;"&lt;text&gt;"&amp;BX21&amp;"&lt;/text&gt;"&amp;IF(ISBLANK(BZ21),"",CHAR(13)&amp;CHAR(9)&amp;CHAR(9)&amp;CHAR(9)&amp;"&lt;attack&gt;"&amp;BZ21&amp;"|"&amp;CA21&amp;"|"&amp;CB21&amp;"&lt;/attack&gt;")&amp;CHAR(13)&amp;CHAR(9)&amp;CHAR(9)&amp;"&lt;/"&amp;BW21&amp;"&gt;")</f>
        <v/>
      </c>
      <c r="K21" s="3" t="str">
        <f>IF(ISBLANK(CC21),"",CHAR(13)&amp;CHAR(9)&amp;CHAR(9)&amp;"&lt;"&amp;CD21&amp;"&gt;"&amp;CHAR(13)&amp;CHAR(9)&amp;CHAR(9)&amp;CHAR(9)&amp;"&lt;name&gt;"&amp;CC21&amp;"&lt;/name&gt;"&amp;CHAR(13)&amp;CHAR(9)&amp;CHAR(9)&amp;CHAR(9)&amp;"&lt;text&gt;"&amp;CE21&amp;"&lt;/text&gt;"&amp;IF(ISBLANK(CG21),"",CHAR(13)&amp;CHAR(9)&amp;CHAR(9)&amp;CHAR(9)&amp;"&lt;attack&gt;"&amp;CG21&amp;"|"&amp;CH21&amp;"|"&amp;CI21&amp;"&lt;/attack&gt;")&amp;CHAR(13)&amp;CHAR(9)&amp;CHAR(9)&amp;"&lt;/"&amp;CD21&amp;"&gt;")</f>
        <v/>
      </c>
      <c r="L21" s="1" t="s">
        <v>16</v>
      </c>
      <c r="M21" s="1" t="s">
        <v>275</v>
      </c>
      <c r="N21" s="1">
        <f>DruidAlignment</f>
        <v>0</v>
      </c>
      <c r="O21" s="2">
        <v>0</v>
      </c>
      <c r="P21" s="1" t="s">
        <v>17</v>
      </c>
      <c r="Q21" s="1">
        <v>13</v>
      </c>
      <c r="R21" s="1"/>
      <c r="S21" s="1">
        <v>4</v>
      </c>
      <c r="T21" s="1">
        <v>50</v>
      </c>
      <c r="Y21" s="1">
        <v>11</v>
      </c>
      <c r="Z21" s="1">
        <v>16</v>
      </c>
      <c r="AA21" s="1">
        <v>11</v>
      </c>
      <c r="AB21" s="10">
        <f>DruidInt</f>
        <v>0</v>
      </c>
      <c r="AC21" s="10">
        <f>DruidWis</f>
        <v>0</v>
      </c>
      <c r="AD21" s="10">
        <f>DruidCha</f>
        <v>0</v>
      </c>
      <c r="AE21" s="12"/>
      <c r="AF21" s="12"/>
      <c r="AG21" s="12"/>
      <c r="AH21" s="12" t="s">
        <v>173</v>
      </c>
      <c r="AI21" s="12" t="str">
        <f>IF(ISBLANK(DruidAcrobatics),"",", Acrobatics +"&amp;DruidAcrobatics)&amp;IF(ISBLANK(DruidAnimalHandling),"",", Animal Handling +"&amp;DruidAnimalHandling)&amp;IF(ISBLANK(DruidArcana),"",", Arcana +"&amp;DruidArcana)&amp;IF(DruidAthletics+AE21=0,"",", Athletics +"&amp;MAX(DruidAthletics,AE21))&amp;IF(ISBLANK(DruidDeception),"",",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+"&amp;DruidNature)&amp;IF(DruidPerception+AF21=0,"",", Perception +"&amp;MAX(DruidPerception,AF21))&amp;IF(ISBLANK(DruidPerformance),"",", Performance +"&amp;DruidPerformance)&amp;IF(ISBLANK(DruidPersuasion),"",", Persuasion +"&amp;DruidPersuasion)&amp;IF(ISBLANK(DruidReligion),"",", Religion +"&amp;DruidReligion)&amp;IF(ISBLANK(DruidSleightofHand),"",", Sleight of Hand +"&amp;DruidSleightofHand)&amp;IF(DruidStealth+AG21=0,"",", Stealth +"&amp;MAX(DruidStealth,AG21))&amp;IF(ISBLANK(DruidSurvival),"",", Survival +"&amp;DruidSurvival)</f>
        <v/>
      </c>
      <c r="AJ21" s="1" t="e">
        <f>RIGHT(AI21,LEN(AI21)-2)</f>
        <v>#VALUE!</v>
      </c>
      <c r="AK2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1" s="1" t="s">
        <v>173</v>
      </c>
      <c r="AN21" s="3">
        <f>IF(DruidPerception+AF21=0,10+(ROUNDDOWN((AC21-10)/2,0)),10+MAX(DruidPerception,AF21))</f>
        <v>5</v>
      </c>
      <c r="AT21" s="3" t="s">
        <v>161</v>
      </c>
      <c r="AU21" s="3" t="s">
        <v>150</v>
      </c>
      <c r="AV21" s="3" t="s">
        <v>238</v>
      </c>
      <c r="AW21" s="3" t="s">
        <v>173</v>
      </c>
      <c r="AX21" s="3" t="s">
        <v>161</v>
      </c>
      <c r="AY21" s="3">
        <v>2</v>
      </c>
      <c r="AZ21" s="3" t="s">
        <v>230</v>
      </c>
      <c r="BD21" s="3" t="s">
        <v>173</v>
      </c>
      <c r="BG21" s="3"/>
      <c r="BK21" s="3" t="s">
        <v>173</v>
      </c>
      <c r="BN21" s="3"/>
      <c r="BR21" s="3" t="s">
        <v>173</v>
      </c>
      <c r="BY21" s="3" t="s">
        <v>173</v>
      </c>
      <c r="CJ21" s="6">
        <v>0</v>
      </c>
      <c r="CK21" s="6">
        <f>IF(CJ21&lt;0.26,2,IF(CJ21&lt;0.51,4,IF(CJ21&lt;1.1,8,99)))</f>
        <v>2</v>
      </c>
      <c r="CL21" s="3">
        <f>IF(M21="Elemental",10,IF(CJ21&lt;2,2,CJ21*3))</f>
        <v>2</v>
      </c>
      <c r="CM21" s="3">
        <f>IF(W21&gt;0,8,0)</f>
        <v>0</v>
      </c>
      <c r="CN21" s="3">
        <f>IF(X21&gt;0,4,0)</f>
        <v>0</v>
      </c>
    </row>
    <row r="22" spans="1:92">
      <c r="A22" s="3" t="str">
        <f>IF(DruidLevel&lt;B22,"",CHAR(9)&amp;"&lt;monster&gt;"&amp;CHAR(13)&amp;CHAR(9)&amp;CHAR(9)&amp;"&lt;name&gt;"&amp;L22&amp;" (Wild Shape)&lt;/name&gt;"&amp;CHAR(13)&amp;CHAR(9)&amp;CHAR(9)&amp;"&lt;size&gt;"&amp;LEFT(P22,1)&amp;"&lt;/size&gt;"&amp;CHAR(13)&amp;CHAR(9)&amp;CHAR(9)&amp;"&lt;type&gt;"&amp;M22&amp;"&lt;/type&gt;"&amp;CHAR(13)&amp;CHAR(9)&amp;CHAR(9)&amp;"&lt;alignment&gt;"&amp;N22&amp;"&lt;/alignment&gt;"&amp;CHAR(13)&amp;CHAR(9)&amp;CHAR(9)&amp;"&lt;ac&gt;"&amp;Q22&amp;IF(ISBLANK(R22),""," ("&amp;R22&amp;")")&amp;"&lt;/ac&gt;"&amp;CHAR(13)&amp;CHAR(9)&amp;CHAR(9)&amp;"&lt;hp&gt;"&amp;S22&amp;"&lt;/hp&gt;"&amp;CHAR(13)&amp;CHAR(9)&amp;CHAR(9)&amp;"&lt;speed&gt;"&amp;E22&amp;"&lt;/speed&gt;"&amp;CHAR(13)&amp;CHAR(9)&amp;CHAR(9)&amp;"&lt;str&gt;"&amp;Y22&amp;"&lt;/str&gt;&lt;dex&gt;"&amp;Z22&amp;"&lt;/dex&gt;&lt;con&gt;"&amp;AA22&amp;"&lt;/con&gt;&lt;int&gt;"&amp;AB22&amp;"&lt;/int&gt;&lt;wis&gt;"&amp;AC22&amp;"&lt;/wis&gt;&lt;cha&gt;"&amp;AD22&amp;"&lt;/cha&gt;"&amp;CHAR(13)&amp;CHAR(9)&amp;CHAR(9)&amp;"&lt;save&gt;"&amp;AK22&amp;"&lt;/save&gt;"&amp;CHAR(13)&amp;CHAR(9)&amp;CHAR(9)&amp;"&lt;skill&gt;"&amp;AJ22&amp;"&lt;/skill&gt;"&amp;CHAR(13)&amp;CHAR(9)&amp;CHAR(9)&amp;"&lt;vulnerable&gt;"&amp;AO22&amp;"&lt;/vulnerable&gt;"&amp;CHAR(13)&amp;CHAR(9)&amp;CHAR(9)&amp;"&lt;resist&gt;"&amp;AP22&amp;"&lt;/resist&gt;"&amp;CHAR(13)&amp;CHAR(9)&amp;CHAR(9)&amp;"&lt;immune&gt;"&amp;AQ22&amp;"&lt;/immune&gt;"&amp;CHAR(13)&amp;CHAR(9)&amp;CHAR(9)&amp;"&lt;conditionImmune&gt;"&amp;AR22&amp;"&lt;/conditionImmune&gt;"&amp;CHAR(13)&amp;CHAR(9)&amp;CHAR(9)&amp;"&lt;senses&gt;"&amp;AM22&amp;"&lt;/senses&gt;"&amp;CHAR(13)&amp;CHAR(9)&amp;CHAR(9)&amp;"&lt;passive&gt;"&amp;AN22&amp;"&lt;/passive&gt;"&amp;CHAR(13)&amp;CHAR(9)&amp;CHAR(9)&amp;"&lt;languages&gt;"&amp;AS22&amp;"&lt;/languages&gt;"&amp;CHAR(13)&amp;CHAR(9)&amp;CHAR(9)&amp;"&lt;cr&gt;"&amp;O22&amp;"&lt;/cr&gt;"&amp;F22&amp;G22&amp;H22&amp;I22&amp;J22&amp;K22&amp;IF(C22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2" s="3">
        <f>IF(COTM=TRUE,MAX(CL22,CM22,CN22),MAX(CK22,CM22,CN22))</f>
        <v>8</v>
      </c>
      <c r="C22" s="11" t="str">
        <f>IF(COTM=FALSE,"",IF(DruidLevel&gt;5,"Y",""))</f>
        <v/>
      </c>
      <c r="D22" s="3" t="s">
        <v>173</v>
      </c>
      <c r="E22" s="3" t="str">
        <f>T22&amp;" ft."&amp;IF(U22+V22+W22+X22=0,"",", ")&amp;IF(ISBLANK(U22),"","burrow "&amp;U22&amp;" ft."&amp;IF(V22+W22+X22=0,"",", "))&amp;IF(ISBLANK(V22),"","climb "&amp;V22&amp;" ft."&amp;IF(W22+X22=0,"",", "))&amp;IF(ISBLANK(W22),"","fly "&amp;W22&amp;" ft."&amp;IF(X22=0,"",", "))&amp;IF(ISBLANK(X22),"","swim "&amp;X22&amp;" ft.")</f>
        <v>50 ft.</v>
      </c>
      <c r="F22" s="3" t="str">
        <f>IF(ISBLANK(AT22),"",CHAR(13)&amp;CHAR(9)&amp;CHAR(9)&amp;"&lt;"&amp;AU22&amp;"&gt;"&amp;CHAR(13)&amp;CHAR(9)&amp;CHAR(9)&amp;CHAR(9)&amp;"&lt;name&gt;"&amp;AT22&amp;"&lt;/name&gt;"&amp;CHAR(13)&amp;CHAR(9)&amp;CHAR(9)&amp;CHAR(9)&amp;"&lt;text&gt;"&amp;AV22&amp;"&lt;/text&gt;"&amp;IF(ISBLANK(AX22),"",CHAR(13)&amp;CHAR(9)&amp;CHAR(9)&amp;CHAR(9)&amp;"&lt;attack&gt;"&amp;AX22&amp;"|"&amp;AY22&amp;"|"&amp;AZ22&amp;"&lt;/attack&gt;")&amp;CHAR(13)&amp;CHAR(9)&amp;CHAR(9)&amp;"&lt;/"&amp;AU22&amp;"&gt;")</f>
        <v>_x000D_		&lt;trait&gt;_x000D_			&lt;name&gt;Keen Hearing and Smell&lt;/name&gt;_x000D_			&lt;text&gt;The wolf has advantage on Wisdom (Perception) checks that rely on hearing or smell.&lt;/text&gt;_x000D_		&lt;/trait&gt;</v>
      </c>
      <c r="G22" s="3" t="str">
        <f>IF(ISBLANK(BA22),"",CHAR(13)&amp;CHAR(9)&amp;CHAR(9)&amp;"&lt;"&amp;BB22&amp;"&gt;"&amp;CHAR(13)&amp;CHAR(9)&amp;CHAR(9)&amp;CHAR(9)&amp;"&lt;name&gt;"&amp;BA22&amp;"&lt;/name&gt;"&amp;CHAR(13)&amp;CHAR(9)&amp;CHAR(9)&amp;CHAR(9)&amp;"&lt;text&gt;"&amp;BC22&amp;"&lt;/text&gt;"&amp;IF(ISBLANK(BE22),"",CHAR(13)&amp;CHAR(9)&amp;CHAR(9)&amp;CHAR(9)&amp;"&lt;attack&gt;"&amp;BE22&amp;"|"&amp;BF22&amp;"|"&amp;BG22&amp;"&lt;/attack&gt;")&amp;CHAR(13)&amp;CHAR(9)&amp;CHAR(9)&amp;"&lt;/"&amp;BB22&amp;"&gt;")</f>
        <v>_x000D_		&lt;trait&gt;_x000D_			&lt;name&gt;Pack Tactics&lt;/name&gt;_x000D_			&lt;text&gt;The wolf has advantage on an attack roll against a creature if at least one of the wolf's allies is within 5 feet of the creature and the ally isn't incapacitated.&lt;/text&gt;_x000D_		&lt;/trait&gt;</v>
      </c>
      <c r="H22" s="3" t="str">
        <f>IF(ISBLANK(BH22),"",CHAR(13)&amp;CHAR(9)&amp;CHAR(9)&amp;"&lt;"&amp;BI22&amp;"&gt;"&amp;CHAR(13)&amp;CHAR(9)&amp;CHAR(9)&amp;CHAR(9)&amp;"&lt;name&gt;"&amp;BH22&amp;"&lt;/name&gt;"&amp;CHAR(13)&amp;CHAR(9)&amp;CHAR(9)&amp;CHAR(9)&amp;"&lt;text&gt;"&amp;BJ22&amp;"&lt;/text&gt;"&amp;IF(ISBLANK(BL22),"",CHAR(13)&amp;CHAR(9)&amp;CHAR(9)&amp;CHAR(9)&amp;"&lt;attack&gt;"&amp;BL22&amp;"|"&amp;BM22&amp;"|"&amp;BN22&amp;"&lt;/attack&gt;")&amp;CHAR(13)&amp;CHAR(9)&amp;CHAR(9)&amp;"&lt;/"&amp;BI22&amp;"&gt;")</f>
        <v>_x000D_		&lt;action&gt;_x000D_			&lt;name&gt;Bite&lt;/name&gt;_x000D_			&lt;text&gt;Melee Weapon Attack: +5 to hit, reach 5 ft., one target. Hit: 10 (2d6+3) piercing damage. If the target is a creature, it must succeed on a DC 13 Strength saving throw or be knocked prone.&lt;/text&gt;_x000D_			&lt;attack&gt;Bite|5|2d6+3&lt;/attack&gt;_x000D_		&lt;/action&gt;</v>
      </c>
      <c r="I22" s="3" t="str">
        <f>IF(ISBLANK(BO22),"",CHAR(13)&amp;CHAR(9)&amp;CHAR(9)&amp;"&lt;"&amp;BP22&amp;"&gt;"&amp;CHAR(13)&amp;CHAR(9)&amp;CHAR(9)&amp;CHAR(9)&amp;"&lt;name&gt;"&amp;BO22&amp;"&lt;/name&gt;"&amp;CHAR(13)&amp;CHAR(9)&amp;CHAR(9)&amp;CHAR(9)&amp;"&lt;text&gt;"&amp;BQ22&amp;"&lt;/text&gt;"&amp;IF(ISBLANK(BS22),"",CHAR(13)&amp;CHAR(9)&amp;CHAR(9)&amp;CHAR(9)&amp;"&lt;attack&gt;"&amp;BS22&amp;"|"&amp;BT22&amp;"|"&amp;BU22&amp;"&lt;/attack&gt;")&amp;CHAR(13)&amp;CHAR(9)&amp;CHAR(9)&amp;"&lt;/"&amp;BP22&amp;"&gt;")</f>
        <v/>
      </c>
      <c r="J22" s="3" t="str">
        <f>IF(ISBLANK(BV22),"",CHAR(13)&amp;CHAR(9)&amp;CHAR(9)&amp;"&lt;"&amp;BW22&amp;"&gt;"&amp;CHAR(13)&amp;CHAR(9)&amp;CHAR(9)&amp;CHAR(9)&amp;"&lt;name&gt;"&amp;BV22&amp;"&lt;/name&gt;"&amp;CHAR(13)&amp;CHAR(9)&amp;CHAR(9)&amp;CHAR(9)&amp;"&lt;text&gt;"&amp;BX22&amp;"&lt;/text&gt;"&amp;IF(ISBLANK(BZ22),"",CHAR(13)&amp;CHAR(9)&amp;CHAR(9)&amp;CHAR(9)&amp;"&lt;attack&gt;"&amp;BZ22&amp;"|"&amp;CA22&amp;"|"&amp;CB22&amp;"&lt;/attack&gt;")&amp;CHAR(13)&amp;CHAR(9)&amp;CHAR(9)&amp;"&lt;/"&amp;BW22&amp;"&gt;")</f>
        <v/>
      </c>
      <c r="K22" s="3" t="str">
        <f>IF(ISBLANK(CC22),"",CHAR(13)&amp;CHAR(9)&amp;CHAR(9)&amp;"&lt;"&amp;CD22&amp;"&gt;"&amp;CHAR(13)&amp;CHAR(9)&amp;CHAR(9)&amp;CHAR(9)&amp;"&lt;name&gt;"&amp;CC22&amp;"&lt;/name&gt;"&amp;CHAR(13)&amp;CHAR(9)&amp;CHAR(9)&amp;CHAR(9)&amp;"&lt;text&gt;"&amp;CE22&amp;"&lt;/text&gt;"&amp;IF(ISBLANK(CG22),"",CHAR(13)&amp;CHAR(9)&amp;CHAR(9)&amp;CHAR(9)&amp;"&lt;attack&gt;"&amp;CG22&amp;"|"&amp;CH22&amp;"|"&amp;CI22&amp;"&lt;/attack&gt;")&amp;CHAR(13)&amp;CHAR(9)&amp;CHAR(9)&amp;"&lt;/"&amp;CD22&amp;"&gt;")</f>
        <v/>
      </c>
      <c r="L22" s="1" t="s">
        <v>51</v>
      </c>
      <c r="M22" s="1" t="s">
        <v>275</v>
      </c>
      <c r="N22" s="1">
        <f>DruidAlignment</f>
        <v>0</v>
      </c>
      <c r="O22" s="2">
        <v>1</v>
      </c>
      <c r="P22" s="1" t="s">
        <v>2</v>
      </c>
      <c r="Q22" s="1">
        <v>14</v>
      </c>
      <c r="R22" s="1" t="s">
        <v>405</v>
      </c>
      <c r="S22" s="1">
        <v>37</v>
      </c>
      <c r="T22" s="1">
        <v>50</v>
      </c>
      <c r="Y22" s="1">
        <v>17</v>
      </c>
      <c r="Z22" s="1">
        <v>15</v>
      </c>
      <c r="AA22" s="1">
        <v>15</v>
      </c>
      <c r="AB22" s="10">
        <f>DruidInt</f>
        <v>0</v>
      </c>
      <c r="AC22" s="10">
        <f>DruidWis</f>
        <v>0</v>
      </c>
      <c r="AD22" s="10">
        <f>DruidCha</f>
        <v>0</v>
      </c>
      <c r="AE22" s="12"/>
      <c r="AF22" s="12">
        <v>3</v>
      </c>
      <c r="AG22" s="12">
        <v>4</v>
      </c>
      <c r="AH22" s="12" t="s">
        <v>173</v>
      </c>
      <c r="AI22" s="12" t="str">
        <f>IF(ISBLANK(DruidAcrobatics),"",", Acrobatics +"&amp;DruidAcrobatics)&amp;IF(ISBLANK(DruidAnimalHandling),"",", Animal Handling +"&amp;DruidAnimalHandling)&amp;IF(ISBLANK(DruidArcana),"",", Arcana +"&amp;DruidArcana)&amp;IF(DruidAthletics+AE22=0,"",", Athletics +"&amp;MAX(DruidAthletics,AE22))&amp;IF(ISBLANK(DruidDeception),"",",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+"&amp;DruidNature)&amp;IF(DruidPerception+AF22=0,"",", Perception +"&amp;MAX(DruidPerception,AF22))&amp;IF(ISBLANK(DruidPerformance),"",", Performance +"&amp;DruidPerformance)&amp;IF(ISBLANK(DruidPersuasion),"",", Persuasion +"&amp;DruidPersuasion)&amp;IF(ISBLANK(DruidReligion),"",", Religion +"&amp;DruidReligion)&amp;IF(ISBLANK(DruidSleightofHand),"",", Sleight of Hand +"&amp;DruidSleightofHand)&amp;IF(DruidStealth+AG22=0,"",", Stealth +"&amp;MAX(DruidStealth,AG22))&amp;IF(ISBLANK(DruidSurvival),"",", Survival +"&amp;DruidSurvival)</f>
        <v>, Perception +3, Stealth +4</v>
      </c>
      <c r="AJ22" s="1" t="str">
        <f>RIGHT(AI22,LEN(AI22)-2)</f>
        <v>Perception +3, Stealth +4</v>
      </c>
      <c r="AK2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2" s="1" t="s">
        <v>173</v>
      </c>
      <c r="AN22" s="3">
        <f>IF(DruidPerception+AF22=0,10+(ROUNDDOWN((AC22-10)/2,0)),10+MAX(DruidPerception,AF22))</f>
        <v>13</v>
      </c>
      <c r="AT22" s="3" t="s">
        <v>28</v>
      </c>
      <c r="AU22" s="3" t="s">
        <v>148</v>
      </c>
      <c r="AV22" s="3" t="s">
        <v>239</v>
      </c>
      <c r="AW22" s="3" t="s">
        <v>173</v>
      </c>
      <c r="AZ22" s="3"/>
      <c r="BA22" s="3" t="s">
        <v>12</v>
      </c>
      <c r="BB22" s="3" t="s">
        <v>148</v>
      </c>
      <c r="BC22" s="3" t="s">
        <v>481</v>
      </c>
      <c r="BD22" s="3" t="s">
        <v>173</v>
      </c>
      <c r="BG22" s="3"/>
      <c r="BH22" s="3" t="s">
        <v>161</v>
      </c>
      <c r="BI22" s="3" t="s">
        <v>150</v>
      </c>
      <c r="BJ22" s="3" t="s">
        <v>443</v>
      </c>
      <c r="BK22" s="3" t="s">
        <v>173</v>
      </c>
      <c r="BL22" s="3" t="s">
        <v>161</v>
      </c>
      <c r="BM22" s="3">
        <v>5</v>
      </c>
      <c r="BN22" s="3" t="s">
        <v>192</v>
      </c>
      <c r="BR22" s="3" t="s">
        <v>173</v>
      </c>
      <c r="BY22" s="3" t="s">
        <v>173</v>
      </c>
      <c r="CJ22" s="6">
        <v>1</v>
      </c>
      <c r="CK22" s="6">
        <f>IF(CJ22&lt;0.26,2,IF(CJ22&lt;0.51,4,IF(CJ22&lt;1.1,8,99)))</f>
        <v>8</v>
      </c>
      <c r="CL22" s="3">
        <f>IF(M22="Elemental",10,IF(CJ22&lt;2,2,CJ22*3))</f>
        <v>2</v>
      </c>
      <c r="CM22" s="3">
        <f>IF(W22&gt;0,8,0)</f>
        <v>0</v>
      </c>
      <c r="CN22" s="3">
        <f>IF(X22&gt;0,4,0)</f>
        <v>0</v>
      </c>
    </row>
    <row r="23" spans="1:92">
      <c r="A23" s="3" t="str">
        <f>IF(DruidLevel&lt;B23,"",CHAR(9)&amp;"&lt;monster&gt;"&amp;CHAR(13)&amp;CHAR(9)&amp;CHAR(9)&amp;"&lt;name&gt;"&amp;L23&amp;" (Wild Shape)&lt;/name&gt;"&amp;CHAR(13)&amp;CHAR(9)&amp;CHAR(9)&amp;"&lt;size&gt;"&amp;LEFT(P23,1)&amp;"&lt;/size&gt;"&amp;CHAR(13)&amp;CHAR(9)&amp;CHAR(9)&amp;"&lt;type&gt;"&amp;M23&amp;"&lt;/type&gt;"&amp;CHAR(13)&amp;CHAR(9)&amp;CHAR(9)&amp;"&lt;alignment&gt;"&amp;N23&amp;"&lt;/alignment&gt;"&amp;CHAR(13)&amp;CHAR(9)&amp;CHAR(9)&amp;"&lt;ac&gt;"&amp;Q23&amp;IF(ISBLANK(R23),""," ("&amp;R23&amp;")")&amp;"&lt;/ac&gt;"&amp;CHAR(13)&amp;CHAR(9)&amp;CHAR(9)&amp;"&lt;hp&gt;"&amp;S23&amp;"&lt;/hp&gt;"&amp;CHAR(13)&amp;CHAR(9)&amp;CHAR(9)&amp;"&lt;speed&gt;"&amp;E23&amp;"&lt;/speed&gt;"&amp;CHAR(13)&amp;CHAR(9)&amp;CHAR(9)&amp;"&lt;str&gt;"&amp;Y23&amp;"&lt;/str&gt;&lt;dex&gt;"&amp;Z23&amp;"&lt;/dex&gt;&lt;con&gt;"&amp;AA23&amp;"&lt;/con&gt;&lt;int&gt;"&amp;AB23&amp;"&lt;/int&gt;&lt;wis&gt;"&amp;AC23&amp;"&lt;/wis&gt;&lt;cha&gt;"&amp;AD23&amp;"&lt;/cha&gt;"&amp;CHAR(13)&amp;CHAR(9)&amp;CHAR(9)&amp;"&lt;save&gt;"&amp;AK23&amp;"&lt;/save&gt;"&amp;CHAR(13)&amp;CHAR(9)&amp;CHAR(9)&amp;"&lt;skill&gt;"&amp;AJ23&amp;"&lt;/skill&gt;"&amp;CHAR(13)&amp;CHAR(9)&amp;CHAR(9)&amp;"&lt;vulnerable&gt;"&amp;AO23&amp;"&lt;/vulnerable&gt;"&amp;CHAR(13)&amp;CHAR(9)&amp;CHAR(9)&amp;"&lt;resist&gt;"&amp;AP23&amp;"&lt;/resist&gt;"&amp;CHAR(13)&amp;CHAR(9)&amp;CHAR(9)&amp;"&lt;immune&gt;"&amp;AQ23&amp;"&lt;/immune&gt;"&amp;CHAR(13)&amp;CHAR(9)&amp;CHAR(9)&amp;"&lt;conditionImmune&gt;"&amp;AR23&amp;"&lt;/conditionImmune&gt;"&amp;CHAR(13)&amp;CHAR(9)&amp;CHAR(9)&amp;"&lt;senses&gt;"&amp;AM23&amp;"&lt;/senses&gt;"&amp;CHAR(13)&amp;CHAR(9)&amp;CHAR(9)&amp;"&lt;passive&gt;"&amp;AN23&amp;"&lt;/passive&gt;"&amp;CHAR(13)&amp;CHAR(9)&amp;CHAR(9)&amp;"&lt;languages&gt;"&amp;AS23&amp;"&lt;/languages&gt;"&amp;CHAR(13)&amp;CHAR(9)&amp;CHAR(9)&amp;"&lt;cr&gt;"&amp;O23&amp;"&lt;/cr&gt;"&amp;F23&amp;G23&amp;H23&amp;I23&amp;J23&amp;K23&amp;IF(C23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3" s="3">
        <f>IF(COTM=TRUE,MAX(CL23,CM23,CN23),MAX(CK23,CM23,CN23))</f>
        <v>2</v>
      </c>
      <c r="C23" s="11" t="str">
        <f>IF(COTM=FALSE,"",IF(DruidLevel&gt;5,"Y",""))</f>
        <v/>
      </c>
      <c r="D23" s="3" t="s">
        <v>173</v>
      </c>
      <c r="E23" s="3" t="str">
        <f>T23&amp;" ft."&amp;IF(U23+V23+W23+X23=0,"",", ")&amp;IF(ISBLANK(U23),"","burrow "&amp;U23&amp;" ft."&amp;IF(V23+W23+X23=0,"",", "))&amp;IF(ISBLANK(V23),"","climb "&amp;V23&amp;" ft."&amp;IF(W23+X23=0,"",", "))&amp;IF(ISBLANK(W23),"","fly "&amp;W23&amp;" ft."&amp;IF(X23=0,"",", "))&amp;IF(ISBLANK(X23),"","swim "&amp;X23&amp;" ft.")</f>
        <v>40 ft.</v>
      </c>
      <c r="F23" s="3" t="str">
        <f>IF(ISBLANK(AT23),"",CHAR(13)&amp;CHAR(9)&amp;CHAR(9)&amp;"&lt;"&amp;AU23&amp;"&gt;"&amp;CHAR(13)&amp;CHAR(9)&amp;CHAR(9)&amp;CHAR(9)&amp;"&lt;name&gt;"&amp;AT23&amp;"&lt;/name&gt;"&amp;CHAR(13)&amp;CHAR(9)&amp;CHAR(9)&amp;CHAR(9)&amp;"&lt;text&gt;"&amp;AV23&amp;"&lt;/text&gt;"&amp;IF(ISBLANK(AX23),"",CHAR(13)&amp;CHAR(9)&amp;CHAR(9)&amp;CHAR(9)&amp;"&lt;attack&gt;"&amp;AX23&amp;"|"&amp;AY23&amp;"|"&amp;AZ23&amp;"&lt;/attack&gt;")&amp;CHAR(13)&amp;CHAR(9)&amp;CHAR(9)&amp;"&lt;/"&amp;AU23&amp;"&gt;")</f>
        <v>_x000D_		&lt;action&gt;_x000D_			&lt;name&gt;Hooves&lt;/name&gt;_x000D_			&lt;text&gt;Melee Weapon Attack: +6 to hit, reach 5 ft., one target. Hit: 9 (2d4+4) bludgeoning damage.&lt;/text&gt;_x000D_			&lt;attack&gt;Hooves|6|2d4+4&lt;/attack&gt;_x000D_		&lt;/action&gt;</v>
      </c>
      <c r="G23" s="3" t="str">
        <f>IF(ISBLANK(BA23),"",CHAR(13)&amp;CHAR(9)&amp;CHAR(9)&amp;"&lt;"&amp;BB23&amp;"&gt;"&amp;CHAR(13)&amp;CHAR(9)&amp;CHAR(9)&amp;CHAR(9)&amp;"&lt;name&gt;"&amp;BA23&amp;"&lt;/name&gt;"&amp;CHAR(13)&amp;CHAR(9)&amp;CHAR(9)&amp;CHAR(9)&amp;"&lt;text&gt;"&amp;BC23&amp;"&lt;/text&gt;"&amp;IF(ISBLANK(BE23),"",CHAR(13)&amp;CHAR(9)&amp;CHAR(9)&amp;CHAR(9)&amp;"&lt;attack&gt;"&amp;BE23&amp;"|"&amp;BF23&amp;"|"&amp;BG23&amp;"&lt;/attack&gt;")&amp;CHAR(13)&amp;CHAR(9)&amp;CHAR(9)&amp;"&lt;/"&amp;BB23&amp;"&gt;")</f>
        <v/>
      </c>
      <c r="H23" s="3" t="str">
        <f>IF(ISBLANK(BH23),"",CHAR(13)&amp;CHAR(9)&amp;CHAR(9)&amp;"&lt;"&amp;BI23&amp;"&gt;"&amp;CHAR(13)&amp;CHAR(9)&amp;CHAR(9)&amp;CHAR(9)&amp;"&lt;name&gt;"&amp;BH23&amp;"&lt;/name&gt;"&amp;CHAR(13)&amp;CHAR(9)&amp;CHAR(9)&amp;CHAR(9)&amp;"&lt;text&gt;"&amp;BJ23&amp;"&lt;/text&gt;"&amp;IF(ISBLANK(BL23),"",CHAR(13)&amp;CHAR(9)&amp;CHAR(9)&amp;CHAR(9)&amp;"&lt;attack&gt;"&amp;BL23&amp;"|"&amp;BM23&amp;"|"&amp;BN23&amp;"&lt;/attack&gt;")&amp;CHAR(13)&amp;CHAR(9)&amp;CHAR(9)&amp;"&lt;/"&amp;BI23&amp;"&gt;")</f>
        <v/>
      </c>
      <c r="I23" s="3" t="str">
        <f>IF(ISBLANK(BO23),"",CHAR(13)&amp;CHAR(9)&amp;CHAR(9)&amp;"&lt;"&amp;BP23&amp;"&gt;"&amp;CHAR(13)&amp;CHAR(9)&amp;CHAR(9)&amp;CHAR(9)&amp;"&lt;name&gt;"&amp;BO23&amp;"&lt;/name&gt;"&amp;CHAR(13)&amp;CHAR(9)&amp;CHAR(9)&amp;CHAR(9)&amp;"&lt;text&gt;"&amp;BQ23&amp;"&lt;/text&gt;"&amp;IF(ISBLANK(BS23),"",CHAR(13)&amp;CHAR(9)&amp;CHAR(9)&amp;CHAR(9)&amp;"&lt;attack&gt;"&amp;BS23&amp;"|"&amp;BT23&amp;"|"&amp;BU23&amp;"&lt;/attack&gt;")&amp;CHAR(13)&amp;CHAR(9)&amp;CHAR(9)&amp;"&lt;/"&amp;BP23&amp;"&gt;")</f>
        <v/>
      </c>
      <c r="J23" s="3" t="str">
        <f>IF(ISBLANK(BV23),"",CHAR(13)&amp;CHAR(9)&amp;CHAR(9)&amp;"&lt;"&amp;BW23&amp;"&gt;"&amp;CHAR(13)&amp;CHAR(9)&amp;CHAR(9)&amp;CHAR(9)&amp;"&lt;name&gt;"&amp;BV23&amp;"&lt;/name&gt;"&amp;CHAR(13)&amp;CHAR(9)&amp;CHAR(9)&amp;CHAR(9)&amp;"&lt;text&gt;"&amp;BX23&amp;"&lt;/text&gt;"&amp;IF(ISBLANK(BZ23),"",CHAR(13)&amp;CHAR(9)&amp;CHAR(9)&amp;CHAR(9)&amp;"&lt;attack&gt;"&amp;BZ23&amp;"|"&amp;CA23&amp;"|"&amp;CB23&amp;"&lt;/attack&gt;")&amp;CHAR(13)&amp;CHAR(9)&amp;CHAR(9)&amp;"&lt;/"&amp;BW23&amp;"&gt;")</f>
        <v/>
      </c>
      <c r="K23" s="3" t="str">
        <f>IF(ISBLANK(CC23),"",CHAR(13)&amp;CHAR(9)&amp;CHAR(9)&amp;"&lt;"&amp;CD23&amp;"&gt;"&amp;CHAR(13)&amp;CHAR(9)&amp;CHAR(9)&amp;CHAR(9)&amp;"&lt;name&gt;"&amp;CC23&amp;"&lt;/name&gt;"&amp;CHAR(13)&amp;CHAR(9)&amp;CHAR(9)&amp;CHAR(9)&amp;"&lt;text&gt;"&amp;CE23&amp;"&lt;/text&gt;"&amp;IF(ISBLANK(CG23),"",CHAR(13)&amp;CHAR(9)&amp;CHAR(9)&amp;CHAR(9)&amp;"&lt;attack&gt;"&amp;CG23&amp;"|"&amp;CH23&amp;"|"&amp;CI23&amp;"&lt;/attack&gt;")&amp;CHAR(13)&amp;CHAR(9)&amp;CHAR(9)&amp;"&lt;/"&amp;CD23&amp;"&gt;")</f>
        <v/>
      </c>
      <c r="L23" s="1" t="s">
        <v>36</v>
      </c>
      <c r="M23" s="1" t="s">
        <v>275</v>
      </c>
      <c r="N23" s="1">
        <f>DruidAlignment</f>
        <v>0</v>
      </c>
      <c r="O23" s="2" t="s">
        <v>208</v>
      </c>
      <c r="P23" s="1" t="s">
        <v>2</v>
      </c>
      <c r="Q23" s="1">
        <v>10</v>
      </c>
      <c r="R23" s="1"/>
      <c r="S23" s="1">
        <v>19</v>
      </c>
      <c r="T23" s="1">
        <v>40</v>
      </c>
      <c r="Y23" s="1">
        <v>18</v>
      </c>
      <c r="Z23" s="1">
        <v>10</v>
      </c>
      <c r="AA23" s="1">
        <v>12</v>
      </c>
      <c r="AB23" s="10">
        <f>DruidInt</f>
        <v>0</v>
      </c>
      <c r="AC23" s="10">
        <f>DruidWis</f>
        <v>0</v>
      </c>
      <c r="AD23" s="10">
        <f>DruidCha</f>
        <v>0</v>
      </c>
      <c r="AE23" s="12"/>
      <c r="AF23" s="12"/>
      <c r="AG23" s="12"/>
      <c r="AH23" s="12" t="s">
        <v>173</v>
      </c>
      <c r="AI23" s="12" t="str">
        <f>IF(ISBLANK(DruidAcrobatics),"",", Acrobatics +"&amp;DruidAcrobatics)&amp;IF(ISBLANK(DruidAnimalHandling),"",", Animal Handling +"&amp;DruidAnimalHandling)&amp;IF(ISBLANK(DruidArcana),"",", Arcana +"&amp;DruidArcana)&amp;IF(DruidAthletics+AE23=0,"",", Athletics +"&amp;MAX(DruidAthletics,AE23))&amp;IF(ISBLANK(DruidDeception),"",",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+"&amp;DruidNature)&amp;IF(DruidPerception+AF23=0,"",", Perception +"&amp;MAX(DruidPerception,AF23))&amp;IF(ISBLANK(DruidPerformance),"",", Performance +"&amp;DruidPerformance)&amp;IF(ISBLANK(DruidPersuasion),"",", Persuasion +"&amp;DruidPersuasion)&amp;IF(ISBLANK(DruidReligion),"",", Religion +"&amp;DruidReligion)&amp;IF(ISBLANK(DruidSleightofHand),"",", Sleight of Hand +"&amp;DruidSleightofHand)&amp;IF(DruidStealth+AG23=0,"",", Stealth +"&amp;MAX(DruidStealth,AG23))&amp;IF(ISBLANK(DruidSurvival),"",", Survival +"&amp;DruidSurvival)</f>
        <v/>
      </c>
      <c r="AJ23" s="1" t="e">
        <f>RIGHT(AI23,LEN(AI23)-2)</f>
        <v>#VALUE!</v>
      </c>
      <c r="AK2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3" s="1" t="s">
        <v>173</v>
      </c>
      <c r="AN23" s="3">
        <f>IF(DruidPerception+AF23=0,10+(ROUNDDOWN((AC23-10)/2,0)),10+MAX(DruidPerception,AF23))</f>
        <v>5</v>
      </c>
      <c r="AT23" s="3" t="s">
        <v>240</v>
      </c>
      <c r="AU23" s="3" t="s">
        <v>150</v>
      </c>
      <c r="AV23" s="3" t="s">
        <v>444</v>
      </c>
      <c r="AW23" s="3" t="s">
        <v>173</v>
      </c>
      <c r="AX23" s="3" t="s">
        <v>240</v>
      </c>
      <c r="AY23" s="3">
        <v>6</v>
      </c>
      <c r="AZ23" s="3" t="s">
        <v>241</v>
      </c>
      <c r="BD23" s="3" t="s">
        <v>173</v>
      </c>
      <c r="BG23" s="3"/>
      <c r="BK23" s="3" t="s">
        <v>173</v>
      </c>
      <c r="BN23" s="3"/>
      <c r="BR23" s="3" t="s">
        <v>173</v>
      </c>
      <c r="BY23" s="3" t="s">
        <v>173</v>
      </c>
      <c r="CJ23" s="6">
        <v>0.25</v>
      </c>
      <c r="CK23" s="6">
        <f>IF(CJ23&lt;0.26,2,IF(CJ23&lt;0.51,4,IF(CJ23&lt;1.1,8,99)))</f>
        <v>2</v>
      </c>
      <c r="CL23" s="3">
        <f>IF(M23="Elemental",10,IF(CJ23&lt;2,2,CJ23*3))</f>
        <v>2</v>
      </c>
      <c r="CM23" s="3">
        <f>IF(W23&gt;0,8,0)</f>
        <v>0</v>
      </c>
      <c r="CN23" s="3">
        <f>IF(X23&gt;0,4,0)</f>
        <v>0</v>
      </c>
    </row>
    <row r="24" spans="1:92">
      <c r="A24" s="3" t="str">
        <f>IF(DruidLevel&lt;B24,"",CHAR(9)&amp;"&lt;monster&gt;"&amp;CHAR(13)&amp;CHAR(9)&amp;CHAR(9)&amp;"&lt;name&gt;"&amp;L24&amp;" (Wild Shape)&lt;/name&gt;"&amp;CHAR(13)&amp;CHAR(9)&amp;CHAR(9)&amp;"&lt;size&gt;"&amp;LEFT(P24,1)&amp;"&lt;/size&gt;"&amp;CHAR(13)&amp;CHAR(9)&amp;CHAR(9)&amp;"&lt;type&gt;"&amp;M24&amp;"&lt;/type&gt;"&amp;CHAR(13)&amp;CHAR(9)&amp;CHAR(9)&amp;"&lt;alignment&gt;"&amp;N24&amp;"&lt;/alignment&gt;"&amp;CHAR(13)&amp;CHAR(9)&amp;CHAR(9)&amp;"&lt;ac&gt;"&amp;Q24&amp;IF(ISBLANK(R24),""," ("&amp;R24&amp;")")&amp;"&lt;/ac&gt;"&amp;CHAR(13)&amp;CHAR(9)&amp;CHAR(9)&amp;"&lt;hp&gt;"&amp;S24&amp;"&lt;/hp&gt;"&amp;CHAR(13)&amp;CHAR(9)&amp;CHAR(9)&amp;"&lt;speed&gt;"&amp;E24&amp;"&lt;/speed&gt;"&amp;CHAR(13)&amp;CHAR(9)&amp;CHAR(9)&amp;"&lt;str&gt;"&amp;Y24&amp;"&lt;/str&gt;&lt;dex&gt;"&amp;Z24&amp;"&lt;/dex&gt;&lt;con&gt;"&amp;AA24&amp;"&lt;/con&gt;&lt;int&gt;"&amp;AB24&amp;"&lt;/int&gt;&lt;wis&gt;"&amp;AC24&amp;"&lt;/wis&gt;&lt;cha&gt;"&amp;AD24&amp;"&lt;/cha&gt;"&amp;CHAR(13)&amp;CHAR(9)&amp;CHAR(9)&amp;"&lt;save&gt;"&amp;AK24&amp;"&lt;/save&gt;"&amp;CHAR(13)&amp;CHAR(9)&amp;CHAR(9)&amp;"&lt;skill&gt;"&amp;AJ24&amp;"&lt;/skill&gt;"&amp;CHAR(13)&amp;CHAR(9)&amp;CHAR(9)&amp;"&lt;vulnerable&gt;"&amp;AO24&amp;"&lt;/vulnerable&gt;"&amp;CHAR(13)&amp;CHAR(9)&amp;CHAR(9)&amp;"&lt;resist&gt;"&amp;AP24&amp;"&lt;/resist&gt;"&amp;CHAR(13)&amp;CHAR(9)&amp;CHAR(9)&amp;"&lt;immune&gt;"&amp;AQ24&amp;"&lt;/immune&gt;"&amp;CHAR(13)&amp;CHAR(9)&amp;CHAR(9)&amp;"&lt;conditionImmune&gt;"&amp;AR24&amp;"&lt;/conditionImmune&gt;"&amp;CHAR(13)&amp;CHAR(9)&amp;CHAR(9)&amp;"&lt;senses&gt;"&amp;AM24&amp;"&lt;/senses&gt;"&amp;CHAR(13)&amp;CHAR(9)&amp;CHAR(9)&amp;"&lt;passive&gt;"&amp;AN24&amp;"&lt;/passive&gt;"&amp;CHAR(13)&amp;CHAR(9)&amp;CHAR(9)&amp;"&lt;languages&gt;"&amp;AS24&amp;"&lt;/languages&gt;"&amp;CHAR(13)&amp;CHAR(9)&amp;CHAR(9)&amp;"&lt;cr&gt;"&amp;O24&amp;"&lt;/cr&gt;"&amp;F24&amp;G24&amp;H24&amp;I24&amp;J24&amp;K24&amp;IF(C24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4" s="3">
        <f>IF(COTM=TRUE,MAX(CL24,CM24,CN24),MAX(CK24,CM24,CN24))</f>
        <v>8</v>
      </c>
      <c r="C24" s="11" t="str">
        <f>IF(COTM=FALSE,"",IF(DruidLevel&gt;5,"Y",""))</f>
        <v/>
      </c>
      <c r="D24" s="3" t="s">
        <v>173</v>
      </c>
      <c r="E24" s="3" t="str">
        <f>T24&amp;" ft."&amp;IF(U24+V24+W24+X24=0,"",", ")&amp;IF(ISBLANK(U24),"","burrow "&amp;U24&amp;" ft."&amp;IF(V24+W24+X24=0,"",", "))&amp;IF(ISBLANK(V24),"","climb "&amp;V24&amp;" ft."&amp;IF(W24+X24=0,"",", "))&amp;IF(ISBLANK(W24),"","fly "&amp;W24&amp;" ft."&amp;IF(X24=0,"",", "))&amp;IF(ISBLANK(X24),"","swim "&amp;X24&amp;" ft.")</f>
        <v>10 ft., fly 60 ft.</v>
      </c>
      <c r="F24" s="3" t="str">
        <f>IF(ISBLANK(AT24),"",CHAR(13)&amp;CHAR(9)&amp;CHAR(9)&amp;"&lt;"&amp;AU24&amp;"&gt;"&amp;CHAR(13)&amp;CHAR(9)&amp;CHAR(9)&amp;CHAR(9)&amp;"&lt;name&gt;"&amp;AT24&amp;"&lt;/name&gt;"&amp;CHAR(13)&amp;CHAR(9)&amp;CHAR(9)&amp;CHAR(9)&amp;"&lt;text&gt;"&amp;AV24&amp;"&lt;/text&gt;"&amp;IF(ISBLANK(AX24),"",CHAR(13)&amp;CHAR(9)&amp;CHAR(9)&amp;CHAR(9)&amp;"&lt;attack&gt;"&amp;AX24&amp;"|"&amp;AY24&amp;"|"&amp;AZ24&amp;"&lt;/attack&gt;")&amp;CHAR(13)&amp;CHAR(9)&amp;CHAR(9)&amp;"&lt;/"&amp;AU24&amp;"&gt;")</f>
        <v>_x000D_		&lt;trait&gt;_x000D_			&lt;name&gt;Keen Sight&lt;/name&gt;_x000D_			&lt;text&gt;The eagle has advantage on Wisdom (Perception) checks that rely on sight.&lt;/text&gt;_x000D_		&lt;/trait&gt;</v>
      </c>
      <c r="G24" s="3" t="str">
        <f>IF(ISBLANK(BA24),"",CHAR(13)&amp;CHAR(9)&amp;CHAR(9)&amp;"&lt;"&amp;BB24&amp;"&gt;"&amp;CHAR(13)&amp;CHAR(9)&amp;CHAR(9)&amp;CHAR(9)&amp;"&lt;name&gt;"&amp;BA24&amp;"&lt;/name&gt;"&amp;CHAR(13)&amp;CHAR(9)&amp;CHAR(9)&amp;CHAR(9)&amp;"&lt;text&gt;"&amp;BC24&amp;"&lt;/text&gt;"&amp;IF(ISBLANK(BE24),"",CHAR(13)&amp;CHAR(9)&amp;CHAR(9)&amp;CHAR(9)&amp;"&lt;attack&gt;"&amp;BE24&amp;"|"&amp;BF24&amp;"|"&amp;BG24&amp;"&lt;/attack&gt;")&amp;CHAR(13)&amp;CHAR(9)&amp;CHAR(9)&amp;"&lt;/"&amp;BB24&amp;"&gt;")</f>
        <v>_x000D_		&lt;action&gt;_x000D_			&lt;name&gt;Talons&lt;/name&gt;_x000D_			&lt;text&gt;Melee Weapon Attack: +4 to hit, reach 5 ft., one target. Hit: 4 (1d4+2) slashing damage.&lt;/text&gt;_x000D_			&lt;attack&gt;Talons|4|1d4+2&lt;/attack&gt;_x000D_		&lt;/action&gt;</v>
      </c>
      <c r="H24" s="3" t="str">
        <f>IF(ISBLANK(BH24),"",CHAR(13)&amp;CHAR(9)&amp;CHAR(9)&amp;"&lt;"&amp;BI24&amp;"&gt;"&amp;CHAR(13)&amp;CHAR(9)&amp;CHAR(9)&amp;CHAR(9)&amp;"&lt;name&gt;"&amp;BH24&amp;"&lt;/name&gt;"&amp;CHAR(13)&amp;CHAR(9)&amp;CHAR(9)&amp;CHAR(9)&amp;"&lt;text&gt;"&amp;BJ24&amp;"&lt;/text&gt;"&amp;IF(ISBLANK(BL24),"",CHAR(13)&amp;CHAR(9)&amp;CHAR(9)&amp;CHAR(9)&amp;"&lt;attack&gt;"&amp;BL24&amp;"|"&amp;BM24&amp;"|"&amp;BN24&amp;"&lt;/attack&gt;")&amp;CHAR(13)&amp;CHAR(9)&amp;CHAR(9)&amp;"&lt;/"&amp;BI24&amp;"&gt;")</f>
        <v/>
      </c>
      <c r="I24" s="3" t="str">
        <f>IF(ISBLANK(BO24),"",CHAR(13)&amp;CHAR(9)&amp;CHAR(9)&amp;"&lt;"&amp;BP24&amp;"&gt;"&amp;CHAR(13)&amp;CHAR(9)&amp;CHAR(9)&amp;CHAR(9)&amp;"&lt;name&gt;"&amp;BO24&amp;"&lt;/name&gt;"&amp;CHAR(13)&amp;CHAR(9)&amp;CHAR(9)&amp;CHAR(9)&amp;"&lt;text&gt;"&amp;BQ24&amp;"&lt;/text&gt;"&amp;IF(ISBLANK(BS24),"",CHAR(13)&amp;CHAR(9)&amp;CHAR(9)&amp;CHAR(9)&amp;"&lt;attack&gt;"&amp;BS24&amp;"|"&amp;BT24&amp;"|"&amp;BU24&amp;"&lt;/attack&gt;")&amp;CHAR(13)&amp;CHAR(9)&amp;CHAR(9)&amp;"&lt;/"&amp;BP24&amp;"&gt;")</f>
        <v/>
      </c>
      <c r="J24" s="3" t="str">
        <f>IF(ISBLANK(BV24),"",CHAR(13)&amp;CHAR(9)&amp;CHAR(9)&amp;"&lt;"&amp;BW24&amp;"&gt;"&amp;CHAR(13)&amp;CHAR(9)&amp;CHAR(9)&amp;CHAR(9)&amp;"&lt;name&gt;"&amp;BV24&amp;"&lt;/name&gt;"&amp;CHAR(13)&amp;CHAR(9)&amp;CHAR(9)&amp;CHAR(9)&amp;"&lt;text&gt;"&amp;BX24&amp;"&lt;/text&gt;"&amp;IF(ISBLANK(BZ24),"",CHAR(13)&amp;CHAR(9)&amp;CHAR(9)&amp;CHAR(9)&amp;"&lt;attack&gt;"&amp;BZ24&amp;"|"&amp;CA24&amp;"|"&amp;CB24&amp;"&lt;/attack&gt;")&amp;CHAR(13)&amp;CHAR(9)&amp;CHAR(9)&amp;"&lt;/"&amp;BW24&amp;"&gt;")</f>
        <v/>
      </c>
      <c r="K24" s="3" t="str">
        <f>IF(ISBLANK(CC24),"",CHAR(13)&amp;CHAR(9)&amp;CHAR(9)&amp;"&lt;"&amp;CD24&amp;"&gt;"&amp;CHAR(13)&amp;CHAR(9)&amp;CHAR(9)&amp;CHAR(9)&amp;"&lt;name&gt;"&amp;CC24&amp;"&lt;/name&gt;"&amp;CHAR(13)&amp;CHAR(9)&amp;CHAR(9)&amp;CHAR(9)&amp;"&lt;text&gt;"&amp;CE24&amp;"&lt;/text&gt;"&amp;IF(ISBLANK(CG24),"",CHAR(13)&amp;CHAR(9)&amp;CHAR(9)&amp;CHAR(9)&amp;"&lt;attack&gt;"&amp;CG24&amp;"|"&amp;CH24&amp;"|"&amp;CI24&amp;"&lt;/attack&gt;")&amp;CHAR(13)&amp;CHAR(9)&amp;CHAR(9)&amp;"&lt;/"&amp;CD24&amp;"&gt;")</f>
        <v/>
      </c>
      <c r="L24" s="1" t="s">
        <v>88</v>
      </c>
      <c r="M24" s="1" t="s">
        <v>275</v>
      </c>
      <c r="N24" s="1">
        <f>DruidAlignment</f>
        <v>0</v>
      </c>
      <c r="O24" s="2">
        <v>0</v>
      </c>
      <c r="P24" s="1" t="s">
        <v>11</v>
      </c>
      <c r="Q24" s="1">
        <v>12</v>
      </c>
      <c r="R24" s="1"/>
      <c r="S24" s="1">
        <v>3</v>
      </c>
      <c r="T24" s="1">
        <v>10</v>
      </c>
      <c r="W24" s="1">
        <v>60</v>
      </c>
      <c r="Y24" s="1">
        <v>6</v>
      </c>
      <c r="Z24" s="1">
        <v>15</v>
      </c>
      <c r="AA24" s="1">
        <v>10</v>
      </c>
      <c r="AB24" s="10">
        <f>DruidInt</f>
        <v>0</v>
      </c>
      <c r="AC24" s="10">
        <f>DruidWis</f>
        <v>0</v>
      </c>
      <c r="AD24" s="10">
        <f>DruidCha</f>
        <v>0</v>
      </c>
      <c r="AE24" s="12"/>
      <c r="AF24" s="12">
        <v>3</v>
      </c>
      <c r="AG24" s="12"/>
      <c r="AH24" s="12" t="s">
        <v>173</v>
      </c>
      <c r="AI24" s="12" t="str">
        <f>IF(ISBLANK(DruidAcrobatics),"",", Acrobatics +"&amp;DruidAcrobatics)&amp;IF(ISBLANK(DruidAnimalHandling),"",", Animal Handling +"&amp;DruidAnimalHandling)&amp;IF(ISBLANK(DruidArcana),"",", Arcana +"&amp;DruidArcana)&amp;IF(DruidAthletics+AE24=0,"",", Athletics +"&amp;MAX(DruidAthletics,AE24))&amp;IF(ISBLANK(DruidDeception),"",",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+"&amp;DruidNature)&amp;IF(DruidPerception+AF24=0,"",", Perception +"&amp;MAX(DruidPerception,AF24))&amp;IF(ISBLANK(DruidPerformance),"",", Performance +"&amp;DruidPerformance)&amp;IF(ISBLANK(DruidPersuasion),"",", Persuasion +"&amp;DruidPersuasion)&amp;IF(ISBLANK(DruidReligion),"",", Religion +"&amp;DruidReligion)&amp;IF(ISBLANK(DruidSleightofHand),"",", Sleight of Hand +"&amp;DruidSleightofHand)&amp;IF(DruidStealth+AG24=0,"",", Stealth +"&amp;MAX(DruidStealth,AG24))&amp;IF(ISBLANK(DruidSurvival),"",", Survival +"&amp;DruidSurvival)</f>
        <v>, Perception +3</v>
      </c>
      <c r="AJ24" s="1" t="str">
        <f>RIGHT(AI24,LEN(AI24)-2)</f>
        <v>Perception +3</v>
      </c>
      <c r="AK2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4" s="1" t="s">
        <v>173</v>
      </c>
      <c r="AN24" s="3">
        <f>IF(DruidPerception+AF24=0,10+(ROUNDDOWN((AC24-10)/2,0)),10+MAX(DruidPerception,AF24))</f>
        <v>13</v>
      </c>
      <c r="AT24" s="3" t="s">
        <v>9</v>
      </c>
      <c r="AU24" s="3" t="s">
        <v>148</v>
      </c>
      <c r="AV24" s="3" t="s">
        <v>242</v>
      </c>
      <c r="AW24" s="3" t="s">
        <v>173</v>
      </c>
      <c r="AZ24" s="3"/>
      <c r="BA24" s="3" t="s">
        <v>243</v>
      </c>
      <c r="BB24" s="3" t="s">
        <v>150</v>
      </c>
      <c r="BC24" s="3" t="s">
        <v>445</v>
      </c>
      <c r="BD24" s="3" t="s">
        <v>173</v>
      </c>
      <c r="BE24" s="3" t="s">
        <v>243</v>
      </c>
      <c r="BF24" s="3">
        <v>4</v>
      </c>
      <c r="BG24" s="3" t="s">
        <v>204</v>
      </c>
      <c r="BK24" s="3" t="s">
        <v>173</v>
      </c>
      <c r="BN24" s="3"/>
      <c r="BR24" s="3" t="s">
        <v>173</v>
      </c>
      <c r="BY24" s="3" t="s">
        <v>173</v>
      </c>
      <c r="CJ24" s="6">
        <v>0</v>
      </c>
      <c r="CK24" s="6">
        <f>IF(CJ24&lt;0.26,2,IF(CJ24&lt;0.51,4,IF(CJ24&lt;1.1,8,99)))</f>
        <v>2</v>
      </c>
      <c r="CL24" s="3">
        <f>IF(M24="Elemental",10,IF(CJ24&lt;2,2,CJ24*3))</f>
        <v>2</v>
      </c>
      <c r="CM24" s="3">
        <f>IF(W24&gt;0,8,0)</f>
        <v>8</v>
      </c>
      <c r="CN24" s="3">
        <f>IF(X24&gt;0,4,0)</f>
        <v>0</v>
      </c>
    </row>
    <row r="25" spans="1:92">
      <c r="A25" s="3" t="str">
        <f>IF(DruidLevel&lt;B25,"",CHAR(9)&amp;"&lt;monster&gt;"&amp;CHAR(13)&amp;CHAR(9)&amp;CHAR(9)&amp;"&lt;name&gt;"&amp;L25&amp;" (Wild Shape)&lt;/name&gt;"&amp;CHAR(13)&amp;CHAR(9)&amp;CHAR(9)&amp;"&lt;size&gt;"&amp;LEFT(P25,1)&amp;"&lt;/size&gt;"&amp;CHAR(13)&amp;CHAR(9)&amp;CHAR(9)&amp;"&lt;type&gt;"&amp;M25&amp;"&lt;/type&gt;"&amp;CHAR(13)&amp;CHAR(9)&amp;CHAR(9)&amp;"&lt;alignment&gt;"&amp;N25&amp;"&lt;/alignment&gt;"&amp;CHAR(13)&amp;CHAR(9)&amp;CHAR(9)&amp;"&lt;ac&gt;"&amp;Q25&amp;IF(ISBLANK(R25),""," ("&amp;R25&amp;")")&amp;"&lt;/ac&gt;"&amp;CHAR(13)&amp;CHAR(9)&amp;CHAR(9)&amp;"&lt;hp&gt;"&amp;S25&amp;"&lt;/hp&gt;"&amp;CHAR(13)&amp;CHAR(9)&amp;CHAR(9)&amp;"&lt;speed&gt;"&amp;E25&amp;"&lt;/speed&gt;"&amp;CHAR(13)&amp;CHAR(9)&amp;CHAR(9)&amp;"&lt;str&gt;"&amp;Y25&amp;"&lt;/str&gt;&lt;dex&gt;"&amp;Z25&amp;"&lt;/dex&gt;&lt;con&gt;"&amp;AA25&amp;"&lt;/con&gt;&lt;int&gt;"&amp;AB25&amp;"&lt;/int&gt;&lt;wis&gt;"&amp;AC25&amp;"&lt;/wis&gt;&lt;cha&gt;"&amp;AD25&amp;"&lt;/cha&gt;"&amp;CHAR(13)&amp;CHAR(9)&amp;CHAR(9)&amp;"&lt;save&gt;"&amp;AK25&amp;"&lt;/save&gt;"&amp;CHAR(13)&amp;CHAR(9)&amp;CHAR(9)&amp;"&lt;skill&gt;"&amp;AJ25&amp;"&lt;/skill&gt;"&amp;CHAR(13)&amp;CHAR(9)&amp;CHAR(9)&amp;"&lt;vulnerable&gt;"&amp;AO25&amp;"&lt;/vulnerable&gt;"&amp;CHAR(13)&amp;CHAR(9)&amp;CHAR(9)&amp;"&lt;resist&gt;"&amp;AP25&amp;"&lt;/resist&gt;"&amp;CHAR(13)&amp;CHAR(9)&amp;CHAR(9)&amp;"&lt;immune&gt;"&amp;AQ25&amp;"&lt;/immune&gt;"&amp;CHAR(13)&amp;CHAR(9)&amp;CHAR(9)&amp;"&lt;conditionImmune&gt;"&amp;AR25&amp;"&lt;/conditionImmune&gt;"&amp;CHAR(13)&amp;CHAR(9)&amp;CHAR(9)&amp;"&lt;senses&gt;"&amp;AM25&amp;"&lt;/senses&gt;"&amp;CHAR(13)&amp;CHAR(9)&amp;CHAR(9)&amp;"&lt;passive&gt;"&amp;AN25&amp;"&lt;/passive&gt;"&amp;CHAR(13)&amp;CHAR(9)&amp;CHAR(9)&amp;"&lt;languages&gt;"&amp;AS25&amp;"&lt;/languages&gt;"&amp;CHAR(13)&amp;CHAR(9)&amp;CHAR(9)&amp;"&lt;cr&gt;"&amp;O25&amp;"&lt;/cr&gt;"&amp;F25&amp;G25&amp;H25&amp;I25&amp;J25&amp;K25&amp;IF(C25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5" s="3">
        <f>IF(COTM=TRUE,MAX(CL25,CM25,CN25),MAX(CK25,CM25,CN25))</f>
        <v>99</v>
      </c>
      <c r="C25" s="11" t="str">
        <f>IF(COTM=FALSE,"",IF(DruidLevel&gt;5,"Y",""))</f>
        <v/>
      </c>
      <c r="D25" s="3" t="s">
        <v>173</v>
      </c>
      <c r="E25" s="3" t="str">
        <f>T25&amp;" ft."&amp;IF(U25+V25+W25+X25=0,"",", ")&amp;IF(ISBLANK(U25),"","burrow "&amp;U25&amp;" ft."&amp;IF(V25+W25+X25=0,"",", "))&amp;IF(ISBLANK(V25),"","climb "&amp;V25&amp;" ft."&amp;IF(W25+X25=0,"",", "))&amp;IF(ISBLANK(W25),"","fly "&amp;W25&amp;" ft."&amp;IF(X25=0,"",", "))&amp;IF(ISBLANK(X25),"","swim "&amp;X25&amp;" ft.")</f>
        <v>30 ft., burrow 30 ft.</v>
      </c>
      <c r="F25" s="3" t="str">
        <f>IF(ISBLANK(AT25),"",CHAR(13)&amp;CHAR(9)&amp;CHAR(9)&amp;"&lt;"&amp;AU25&amp;"&gt;"&amp;CHAR(13)&amp;CHAR(9)&amp;CHAR(9)&amp;CHAR(9)&amp;"&lt;name&gt;"&amp;AT25&amp;"&lt;/name&gt;"&amp;CHAR(13)&amp;CHAR(9)&amp;CHAR(9)&amp;CHAR(9)&amp;"&lt;text&gt;"&amp;AV25&amp;"&lt;/text&gt;"&amp;IF(ISBLANK(AX25),"",CHAR(13)&amp;CHAR(9)&amp;CHAR(9)&amp;CHAR(9)&amp;"&lt;attack&gt;"&amp;AX25&amp;"|"&amp;AY25&amp;"|"&amp;AZ25&amp;"&lt;/attack&gt;")&amp;CHAR(13)&amp;CHAR(9)&amp;CHAR(9)&amp;"&lt;/"&amp;AU25&amp;"&gt;")</f>
        <v>_x000D_		&lt;trait&gt;_x000D_			&lt;name&gt;Earth Glide&lt;/name&gt;_x000D_			&lt;text&gt;The elemental can burrow through nonmagical, unworked earth and stone. While doing so, the elemental doesn't disturb the material it moves through.&lt;/text&gt;_x000D_		&lt;/trait&gt;</v>
      </c>
      <c r="G25" s="3" t="str">
        <f>IF(ISBLANK(BA25),"",CHAR(13)&amp;CHAR(9)&amp;CHAR(9)&amp;"&lt;"&amp;BB25&amp;"&gt;"&amp;CHAR(13)&amp;CHAR(9)&amp;CHAR(9)&amp;CHAR(9)&amp;"&lt;name&gt;"&amp;BA25&amp;"&lt;/name&gt;"&amp;CHAR(13)&amp;CHAR(9)&amp;CHAR(9)&amp;CHAR(9)&amp;"&lt;text&gt;"&amp;BC25&amp;"&lt;/text&gt;"&amp;IF(ISBLANK(BE25),"",CHAR(13)&amp;CHAR(9)&amp;CHAR(9)&amp;CHAR(9)&amp;"&lt;attack&gt;"&amp;BE25&amp;"|"&amp;BF25&amp;"|"&amp;BG25&amp;"&lt;/attack&gt;")&amp;CHAR(13)&amp;CHAR(9)&amp;CHAR(9)&amp;"&lt;/"&amp;BB25&amp;"&gt;")</f>
        <v>_x000D_		&lt;trait&gt;_x000D_			&lt;name&gt;Siege Monster&lt;/name&gt;_x000D_			&lt;text&gt;The elemental deals double damage to objects and structures.&lt;/text&gt;_x000D_		&lt;/trait&gt;</v>
      </c>
      <c r="H25" s="3" t="str">
        <f>IF(ISBLANK(BH25),"",CHAR(13)&amp;CHAR(9)&amp;CHAR(9)&amp;"&lt;"&amp;BI25&amp;"&gt;"&amp;CHAR(13)&amp;CHAR(9)&amp;CHAR(9)&amp;CHAR(9)&amp;"&lt;name&gt;"&amp;BH25&amp;"&lt;/name&gt;"&amp;CHAR(13)&amp;CHAR(9)&amp;CHAR(9)&amp;CHAR(9)&amp;"&lt;text&gt;"&amp;BJ25&amp;"&lt;/text&gt;"&amp;IF(ISBLANK(BL25),"",CHAR(13)&amp;CHAR(9)&amp;CHAR(9)&amp;CHAR(9)&amp;"&lt;attack&gt;"&amp;BL25&amp;"|"&amp;BM25&amp;"|"&amp;BN25&amp;"&lt;/attack&gt;")&amp;CHAR(13)&amp;CHAR(9)&amp;CHAR(9)&amp;"&lt;/"&amp;BI25&amp;"&gt;")</f>
        <v>_x000D_		&lt;action&gt;_x000D_			&lt;name&gt;Multiattack&lt;/name&gt;_x000D_			&lt;text&gt;The elemental makes two slam attacks.&lt;/text&gt;_x000D_		&lt;/action&gt;</v>
      </c>
      <c r="I25" s="3" t="str">
        <f>IF(ISBLANK(BO25),"",CHAR(13)&amp;CHAR(9)&amp;CHAR(9)&amp;"&lt;"&amp;BP25&amp;"&gt;"&amp;CHAR(13)&amp;CHAR(9)&amp;CHAR(9)&amp;CHAR(9)&amp;"&lt;name&gt;"&amp;BO25&amp;"&lt;/name&gt;"&amp;CHAR(13)&amp;CHAR(9)&amp;CHAR(9)&amp;CHAR(9)&amp;"&lt;text&gt;"&amp;BQ25&amp;"&lt;/text&gt;"&amp;IF(ISBLANK(BS25),"",CHAR(13)&amp;CHAR(9)&amp;CHAR(9)&amp;CHAR(9)&amp;"&lt;attack&gt;"&amp;BS25&amp;"|"&amp;BT25&amp;"|"&amp;BU25&amp;"&lt;/attack&gt;")&amp;CHAR(13)&amp;CHAR(9)&amp;CHAR(9)&amp;"&lt;/"&amp;BP25&amp;"&gt;")</f>
        <v>_x000D_		&lt;action&gt;_x000D_			&lt;name&gt;Slam&lt;/name&gt;_x000D_			&lt;text&gt;Melee Weapon Attack: +8 to hit, reach 10 ft., one target. Hit: 14 (2d8 + 5) bludgeoning damage.&lt;/text&gt;_x000D_			&lt;attack&gt;Slam|8|2d8+5&lt;/attack&gt;_x000D_		&lt;/action&gt;</v>
      </c>
      <c r="J25" s="3" t="str">
        <f>IF(ISBLANK(BV25),"",CHAR(13)&amp;CHAR(9)&amp;CHAR(9)&amp;"&lt;"&amp;BW25&amp;"&gt;"&amp;CHAR(13)&amp;CHAR(9)&amp;CHAR(9)&amp;CHAR(9)&amp;"&lt;name&gt;"&amp;BV25&amp;"&lt;/name&gt;"&amp;CHAR(13)&amp;CHAR(9)&amp;CHAR(9)&amp;CHAR(9)&amp;"&lt;text&gt;"&amp;BX25&amp;"&lt;/text&gt;"&amp;IF(ISBLANK(BZ25),"",CHAR(13)&amp;CHAR(9)&amp;CHAR(9)&amp;CHAR(9)&amp;"&lt;attack&gt;"&amp;BZ25&amp;"|"&amp;CA25&amp;"|"&amp;CB25&amp;"&lt;/attack&gt;")&amp;CHAR(13)&amp;CHAR(9)&amp;CHAR(9)&amp;"&lt;/"&amp;BW25&amp;"&gt;")</f>
        <v/>
      </c>
      <c r="K25" s="3" t="str">
        <f>IF(ISBLANK(CC25),"",CHAR(13)&amp;CHAR(9)&amp;CHAR(9)&amp;"&lt;"&amp;CD25&amp;"&gt;"&amp;CHAR(13)&amp;CHAR(9)&amp;CHAR(9)&amp;CHAR(9)&amp;"&lt;name&gt;"&amp;CC25&amp;"&lt;/name&gt;"&amp;CHAR(13)&amp;CHAR(9)&amp;CHAR(9)&amp;CHAR(9)&amp;"&lt;text&gt;"&amp;CE25&amp;"&lt;/text&gt;"&amp;IF(ISBLANK(CG25),"",CHAR(13)&amp;CHAR(9)&amp;CHAR(9)&amp;CHAR(9)&amp;"&lt;attack&gt;"&amp;CG25&amp;"|"&amp;CH25&amp;"|"&amp;CI25&amp;"&lt;/attack&gt;")&amp;CHAR(13)&amp;CHAR(9)&amp;CHAR(9)&amp;"&lt;/"&amp;CD25&amp;"&gt;")</f>
        <v/>
      </c>
      <c r="L25" s="1" t="s">
        <v>4</v>
      </c>
      <c r="M25" s="1" t="s">
        <v>276</v>
      </c>
      <c r="N25" s="1">
        <f>DruidAlignment</f>
        <v>0</v>
      </c>
      <c r="O25" s="2">
        <v>5</v>
      </c>
      <c r="P25" s="1" t="s">
        <v>2</v>
      </c>
      <c r="Q25" s="1">
        <v>17</v>
      </c>
      <c r="R25" s="1" t="s">
        <v>405</v>
      </c>
      <c r="S25" s="1">
        <v>126</v>
      </c>
      <c r="T25" s="1">
        <v>30</v>
      </c>
      <c r="U25" s="1">
        <v>30</v>
      </c>
      <c r="Y25" s="1">
        <v>20</v>
      </c>
      <c r="Z25" s="1">
        <v>8</v>
      </c>
      <c r="AA25" s="1">
        <v>20</v>
      </c>
      <c r="AB25" s="10">
        <f>DruidInt</f>
        <v>0</v>
      </c>
      <c r="AC25" s="10">
        <f>DruidWis</f>
        <v>0</v>
      </c>
      <c r="AD25" s="10">
        <f>DruidCha</f>
        <v>0</v>
      </c>
      <c r="AE25" s="12"/>
      <c r="AF25" s="12"/>
      <c r="AG25" s="12"/>
      <c r="AH25" s="12" t="s">
        <v>173</v>
      </c>
      <c r="AI25" s="12" t="str">
        <f>IF(ISBLANK(DruidAcrobatics),"",", Acrobatics +"&amp;DruidAcrobatics)&amp;IF(ISBLANK(DruidAnimalHandling),"",", Animal Handling +"&amp;DruidAnimalHandling)&amp;IF(ISBLANK(DruidArcana),"",", Arcana +"&amp;DruidArcana)&amp;IF(DruidAthletics+AE25=0,"",", Athletics +"&amp;MAX(DruidAthletics,AE25))&amp;IF(ISBLANK(DruidDeception),"",",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+"&amp;DruidNature)&amp;IF(DruidPerception+AF25=0,"",", Perception +"&amp;MAX(DruidPerception,AF25))&amp;IF(ISBLANK(DruidPerformance),"",", Performance +"&amp;DruidPerformance)&amp;IF(ISBLANK(DruidPersuasion),"",", Persuasion +"&amp;DruidPersuasion)&amp;IF(ISBLANK(DruidReligion),"",", Religion +"&amp;DruidReligion)&amp;IF(ISBLANK(DruidSleightofHand),"",", Sleight of Hand +"&amp;DruidSleightofHand)&amp;IF(DruidStealth+AG25=0,"",", Stealth +"&amp;MAX(DruidStealth,AG25))&amp;IF(ISBLANK(DruidSurvival),"",", Survival +"&amp;DruidSurvival)</f>
        <v/>
      </c>
      <c r="AJ25" s="1" t="e">
        <f>RIGHT(AI25,LEN(AI25)-2)</f>
        <v>#VALUE!</v>
      </c>
      <c r="AK2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5" s="1" t="s">
        <v>173</v>
      </c>
      <c r="AM25" s="1" t="s">
        <v>177</v>
      </c>
      <c r="AN25" s="3">
        <f>IF(DruidPerception+AF25=0,10+(ROUNDDOWN((AC25-10)/2,0)),10+MAX(DruidPerception,AF25))</f>
        <v>5</v>
      </c>
      <c r="AO25" s="1" t="s">
        <v>137</v>
      </c>
      <c r="AP25" s="1" t="s">
        <v>144</v>
      </c>
      <c r="AQ25" s="1" t="s">
        <v>132</v>
      </c>
      <c r="AR25" s="1" t="s">
        <v>145</v>
      </c>
      <c r="AS25" s="1" t="s">
        <v>136</v>
      </c>
      <c r="AT25" s="3" t="s">
        <v>194</v>
      </c>
      <c r="AU25" s="3" t="s">
        <v>148</v>
      </c>
      <c r="AV25" s="3" t="s">
        <v>503</v>
      </c>
      <c r="AW25" s="3" t="s">
        <v>173</v>
      </c>
      <c r="AZ25" s="9"/>
      <c r="BA25" s="3" t="s">
        <v>195</v>
      </c>
      <c r="BB25" s="3" t="s">
        <v>148</v>
      </c>
      <c r="BC25" s="3" t="s">
        <v>196</v>
      </c>
      <c r="BD25" s="3" t="s">
        <v>173</v>
      </c>
      <c r="BG25" s="9"/>
      <c r="BH25" s="3" t="s">
        <v>149</v>
      </c>
      <c r="BI25" s="3" t="s">
        <v>150</v>
      </c>
      <c r="BJ25" s="3" t="s">
        <v>151</v>
      </c>
      <c r="BK25" s="3" t="s">
        <v>173</v>
      </c>
      <c r="BN25" s="9"/>
      <c r="BO25" s="3" t="s">
        <v>152</v>
      </c>
      <c r="BP25" s="3" t="s">
        <v>150</v>
      </c>
      <c r="BQ25" s="3" t="s">
        <v>197</v>
      </c>
      <c r="BR25" s="3" t="s">
        <v>173</v>
      </c>
      <c r="BS25" s="3" t="s">
        <v>152</v>
      </c>
      <c r="BT25" s="3">
        <v>8</v>
      </c>
      <c r="BU25" s="3" t="s">
        <v>154</v>
      </c>
      <c r="BY25" s="3" t="s">
        <v>173</v>
      </c>
      <c r="CJ25" s="6">
        <v>5</v>
      </c>
      <c r="CK25" s="6">
        <f>IF(CJ25&lt;0.26,2,IF(CJ25&lt;0.51,4,IF(CJ25&lt;1.1,8,99)))</f>
        <v>99</v>
      </c>
      <c r="CL25" s="3">
        <f>IF(M25="Elemental",10,IF(CJ25&lt;2,2,CJ25*3))</f>
        <v>10</v>
      </c>
      <c r="CM25" s="3">
        <f>IF(W25&gt;0,8,0)</f>
        <v>0</v>
      </c>
      <c r="CN25" s="3">
        <f>IF(X25&gt;0,4,0)</f>
        <v>0</v>
      </c>
    </row>
    <row r="26" spans="1:92">
      <c r="A26" s="3" t="str">
        <f>IF(DruidLevel&lt;B26,"",CHAR(9)&amp;"&lt;monster&gt;"&amp;CHAR(13)&amp;CHAR(9)&amp;CHAR(9)&amp;"&lt;name&gt;"&amp;L26&amp;" (Wild Shape)&lt;/name&gt;"&amp;CHAR(13)&amp;CHAR(9)&amp;CHAR(9)&amp;"&lt;size&gt;"&amp;LEFT(P26,1)&amp;"&lt;/size&gt;"&amp;CHAR(13)&amp;CHAR(9)&amp;CHAR(9)&amp;"&lt;type&gt;"&amp;M26&amp;"&lt;/type&gt;"&amp;CHAR(13)&amp;CHAR(9)&amp;CHAR(9)&amp;"&lt;alignment&gt;"&amp;N26&amp;"&lt;/alignment&gt;"&amp;CHAR(13)&amp;CHAR(9)&amp;CHAR(9)&amp;"&lt;ac&gt;"&amp;Q26&amp;IF(ISBLANK(R26),""," ("&amp;R26&amp;")")&amp;"&lt;/ac&gt;"&amp;CHAR(13)&amp;CHAR(9)&amp;CHAR(9)&amp;"&lt;hp&gt;"&amp;S26&amp;"&lt;/hp&gt;"&amp;CHAR(13)&amp;CHAR(9)&amp;CHAR(9)&amp;"&lt;speed&gt;"&amp;E26&amp;"&lt;/speed&gt;"&amp;CHAR(13)&amp;CHAR(9)&amp;CHAR(9)&amp;"&lt;str&gt;"&amp;Y26&amp;"&lt;/str&gt;&lt;dex&gt;"&amp;Z26&amp;"&lt;/dex&gt;&lt;con&gt;"&amp;AA26&amp;"&lt;/con&gt;&lt;int&gt;"&amp;AB26&amp;"&lt;/int&gt;&lt;wis&gt;"&amp;AC26&amp;"&lt;/wis&gt;&lt;cha&gt;"&amp;AD26&amp;"&lt;/cha&gt;"&amp;CHAR(13)&amp;CHAR(9)&amp;CHAR(9)&amp;"&lt;save&gt;"&amp;AK26&amp;"&lt;/save&gt;"&amp;CHAR(13)&amp;CHAR(9)&amp;CHAR(9)&amp;"&lt;skill&gt;"&amp;AJ26&amp;"&lt;/skill&gt;"&amp;CHAR(13)&amp;CHAR(9)&amp;CHAR(9)&amp;"&lt;vulnerable&gt;"&amp;AO26&amp;"&lt;/vulnerable&gt;"&amp;CHAR(13)&amp;CHAR(9)&amp;CHAR(9)&amp;"&lt;resist&gt;"&amp;AP26&amp;"&lt;/resist&gt;"&amp;CHAR(13)&amp;CHAR(9)&amp;CHAR(9)&amp;"&lt;immune&gt;"&amp;AQ26&amp;"&lt;/immune&gt;"&amp;CHAR(13)&amp;CHAR(9)&amp;CHAR(9)&amp;"&lt;conditionImmune&gt;"&amp;AR26&amp;"&lt;/conditionImmune&gt;"&amp;CHAR(13)&amp;CHAR(9)&amp;CHAR(9)&amp;"&lt;senses&gt;"&amp;AM26&amp;"&lt;/senses&gt;"&amp;CHAR(13)&amp;CHAR(9)&amp;CHAR(9)&amp;"&lt;passive&gt;"&amp;AN26&amp;"&lt;/passive&gt;"&amp;CHAR(13)&amp;CHAR(9)&amp;CHAR(9)&amp;"&lt;languages&gt;"&amp;AS26&amp;"&lt;/languages&gt;"&amp;CHAR(13)&amp;CHAR(9)&amp;CHAR(9)&amp;"&lt;cr&gt;"&amp;O26&amp;"&lt;/cr&gt;"&amp;F26&amp;G26&amp;H26&amp;I26&amp;J26&amp;K26&amp;IF(C26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6" s="3">
        <f>IF(COTM=TRUE,MAX(CL26,CM26,CN26),MAX(CK26,CM26,CN26))</f>
        <v>99</v>
      </c>
      <c r="C26" s="11" t="str">
        <f>IF(COTM=FALSE,"",IF(DruidLevel&gt;5,"Y",""))</f>
        <v/>
      </c>
      <c r="D26" s="3" t="s">
        <v>173</v>
      </c>
      <c r="E26" s="3" t="str">
        <f>T26&amp;" ft."&amp;IF(U26+V26+W26+X26=0,"",", ")&amp;IF(ISBLANK(U26),"","burrow "&amp;U26&amp;" ft."&amp;IF(V26+W26+X26=0,"",", "))&amp;IF(ISBLANK(V26),"","climb "&amp;V26&amp;" ft."&amp;IF(W26+X26=0,"",", "))&amp;IF(ISBLANK(W26),"","fly "&amp;W26&amp;" ft."&amp;IF(X26=0,"",", "))&amp;IF(ISBLANK(X26),"","swim "&amp;X26&amp;" ft.")</f>
        <v>40 ft.</v>
      </c>
      <c r="F26" s="3" t="str">
        <f>IF(ISBLANK(AT26),"",CHAR(13)&amp;CHAR(9)&amp;CHAR(9)&amp;"&lt;"&amp;AU26&amp;"&gt;"&amp;CHAR(13)&amp;CHAR(9)&amp;CHAR(9)&amp;CHAR(9)&amp;"&lt;name&gt;"&amp;AT26&amp;"&lt;/name&gt;"&amp;CHAR(13)&amp;CHAR(9)&amp;CHAR(9)&amp;CHAR(9)&amp;"&lt;text&gt;"&amp;AV26&amp;"&lt;/text&gt;"&amp;IF(ISBLANK(AX26),"",CHAR(13)&amp;CHAR(9)&amp;CHAR(9)&amp;CHAR(9)&amp;"&lt;attack&gt;"&amp;AX26&amp;"|"&amp;AY26&amp;"|"&amp;AZ26&amp;"&lt;/attack&gt;")&amp;CHAR(13)&amp;CHAR(9)&amp;CHAR(9)&amp;"&lt;/"&amp;AU26&amp;"&gt;")</f>
        <v>_x000D_		&lt;trait&gt;_x000D_			&lt;name&gt;Trampling Charge&lt;/name&gt;_x000D_			&lt;text&gt;If the elephant moves at least 20 feet straight toward a creature and then hits it with a gore attack on the same turn, that target must succeed on a DC 12 Strength saving throw or be knocked prone. If the target is prone, the elephant can make one stomp attack against it as a bonus action.&lt;/text&gt;_x000D_		&lt;/trait&gt;</v>
      </c>
      <c r="G26" s="3" t="str">
        <f>IF(ISBLANK(BA26),"",CHAR(13)&amp;CHAR(9)&amp;CHAR(9)&amp;"&lt;"&amp;BB26&amp;"&gt;"&amp;CHAR(13)&amp;CHAR(9)&amp;CHAR(9)&amp;CHAR(9)&amp;"&lt;name&gt;"&amp;BA26&amp;"&lt;/name&gt;"&amp;CHAR(13)&amp;CHAR(9)&amp;CHAR(9)&amp;CHAR(9)&amp;"&lt;text&gt;"&amp;BC26&amp;"&lt;/text&gt;"&amp;IF(ISBLANK(BE26),"",CHAR(13)&amp;CHAR(9)&amp;CHAR(9)&amp;CHAR(9)&amp;"&lt;attack&gt;"&amp;BE26&amp;"|"&amp;BF26&amp;"|"&amp;BG26&amp;"&lt;/attack&gt;")&amp;CHAR(13)&amp;CHAR(9)&amp;CHAR(9)&amp;"&lt;/"&amp;BB26&amp;"&gt;")</f>
        <v>_x000D_		&lt;action&gt;_x000D_			&lt;name&gt;Gore&lt;/name&gt;_x000D_			&lt;text&gt;Melee Weapon Attack: +8 to hit, reach 5 ft., one target. Hit: 18 (3d8 + 5) piercing damage.&lt;/text&gt;_x000D_			&lt;attack&gt;Gore|8|3d8+5&lt;/attack&gt;_x000D_		&lt;/action&gt;</v>
      </c>
      <c r="H26" s="3" t="str">
        <f>IF(ISBLANK(BH26),"",CHAR(13)&amp;CHAR(9)&amp;CHAR(9)&amp;"&lt;"&amp;BI26&amp;"&gt;"&amp;CHAR(13)&amp;CHAR(9)&amp;CHAR(9)&amp;CHAR(9)&amp;"&lt;name&gt;"&amp;BH26&amp;"&lt;/name&gt;"&amp;CHAR(13)&amp;CHAR(9)&amp;CHAR(9)&amp;CHAR(9)&amp;"&lt;text&gt;"&amp;BJ26&amp;"&lt;/text&gt;"&amp;IF(ISBLANK(BL26),"",CHAR(13)&amp;CHAR(9)&amp;CHAR(9)&amp;CHAR(9)&amp;"&lt;attack&gt;"&amp;BL26&amp;"|"&amp;BM26&amp;"|"&amp;BN26&amp;"&lt;/attack&gt;")&amp;CHAR(13)&amp;CHAR(9)&amp;CHAR(9)&amp;"&lt;/"&amp;BI26&amp;"&gt;")</f>
        <v>_x000D_		&lt;action&gt;_x000D_			&lt;name&gt;Stomp&lt;/name&gt;_x000D_			&lt;text&gt;Melee Weapon Attack: +8 to hit, reach 5 ft., one prone creature. Hit: 21 (3d10 + 5) bludgeoning damage.&lt;/text&gt;_x000D_			&lt;attack&gt;Stomp|8|3d10+5&lt;/attack&gt;_x000D_		&lt;/action&gt;</v>
      </c>
      <c r="I26" s="3" t="str">
        <f>IF(ISBLANK(BO26),"",CHAR(13)&amp;CHAR(9)&amp;CHAR(9)&amp;"&lt;"&amp;BP26&amp;"&gt;"&amp;CHAR(13)&amp;CHAR(9)&amp;CHAR(9)&amp;CHAR(9)&amp;"&lt;name&gt;"&amp;BO26&amp;"&lt;/name&gt;"&amp;CHAR(13)&amp;CHAR(9)&amp;CHAR(9)&amp;CHAR(9)&amp;"&lt;text&gt;"&amp;BQ26&amp;"&lt;/text&gt;"&amp;IF(ISBLANK(BS26),"",CHAR(13)&amp;CHAR(9)&amp;CHAR(9)&amp;CHAR(9)&amp;"&lt;attack&gt;"&amp;BS26&amp;"|"&amp;BT26&amp;"|"&amp;BU26&amp;"&lt;/attack&gt;")&amp;CHAR(13)&amp;CHAR(9)&amp;CHAR(9)&amp;"&lt;/"&amp;BP26&amp;"&gt;")</f>
        <v/>
      </c>
      <c r="J26" s="3" t="str">
        <f>IF(ISBLANK(BV26),"",CHAR(13)&amp;CHAR(9)&amp;CHAR(9)&amp;"&lt;"&amp;BW26&amp;"&gt;"&amp;CHAR(13)&amp;CHAR(9)&amp;CHAR(9)&amp;CHAR(9)&amp;"&lt;name&gt;"&amp;BV26&amp;"&lt;/name&gt;"&amp;CHAR(13)&amp;CHAR(9)&amp;CHAR(9)&amp;CHAR(9)&amp;"&lt;text&gt;"&amp;BX26&amp;"&lt;/text&gt;"&amp;IF(ISBLANK(BZ26),"",CHAR(13)&amp;CHAR(9)&amp;CHAR(9)&amp;CHAR(9)&amp;"&lt;attack&gt;"&amp;BZ26&amp;"|"&amp;CA26&amp;"|"&amp;CB26&amp;"&lt;/attack&gt;")&amp;CHAR(13)&amp;CHAR(9)&amp;CHAR(9)&amp;"&lt;/"&amp;BW26&amp;"&gt;")</f>
        <v/>
      </c>
      <c r="K26" s="3" t="str">
        <f>IF(ISBLANK(CC26),"",CHAR(13)&amp;CHAR(9)&amp;CHAR(9)&amp;"&lt;"&amp;CD26&amp;"&gt;"&amp;CHAR(13)&amp;CHAR(9)&amp;CHAR(9)&amp;CHAR(9)&amp;"&lt;name&gt;"&amp;CC26&amp;"&lt;/name&gt;"&amp;CHAR(13)&amp;CHAR(9)&amp;CHAR(9)&amp;CHAR(9)&amp;"&lt;text&gt;"&amp;CE26&amp;"&lt;/text&gt;"&amp;IF(ISBLANK(CG26),"",CHAR(13)&amp;CHAR(9)&amp;CHAR(9)&amp;CHAR(9)&amp;"&lt;attack&gt;"&amp;CG26&amp;"|"&amp;CH26&amp;"|"&amp;CI26&amp;"&lt;/attack&gt;")&amp;CHAR(13)&amp;CHAR(9)&amp;CHAR(9)&amp;"&lt;/"&amp;CD26&amp;"&gt;")</f>
        <v/>
      </c>
      <c r="L26" s="1" t="s">
        <v>103</v>
      </c>
      <c r="M26" s="1" t="s">
        <v>275</v>
      </c>
      <c r="N26" s="1">
        <f>DruidAlignment</f>
        <v>0</v>
      </c>
      <c r="O26" s="2">
        <v>4</v>
      </c>
      <c r="P26" s="1" t="s">
        <v>80</v>
      </c>
      <c r="Q26" s="1">
        <v>12</v>
      </c>
      <c r="R26" s="1" t="s">
        <v>405</v>
      </c>
      <c r="S26" s="1">
        <v>76</v>
      </c>
      <c r="T26" s="1">
        <v>40</v>
      </c>
      <c r="Y26" s="1">
        <v>22</v>
      </c>
      <c r="Z26" s="1">
        <v>9</v>
      </c>
      <c r="AA26" s="1">
        <v>17</v>
      </c>
      <c r="AB26" s="10">
        <f>DruidInt</f>
        <v>0</v>
      </c>
      <c r="AC26" s="10">
        <f>DruidWis</f>
        <v>0</v>
      </c>
      <c r="AD26" s="10">
        <f>DruidCha</f>
        <v>0</v>
      </c>
      <c r="AE26" s="12"/>
      <c r="AF26" s="12"/>
      <c r="AG26" s="12"/>
      <c r="AH26" s="12" t="s">
        <v>173</v>
      </c>
      <c r="AI26" s="12" t="str">
        <f>IF(ISBLANK(DruidAcrobatics),"",", Acrobatics +"&amp;DruidAcrobatics)&amp;IF(ISBLANK(DruidAnimalHandling),"",", Animal Handling +"&amp;DruidAnimalHandling)&amp;IF(ISBLANK(DruidArcana),"",", Arcana +"&amp;DruidArcana)&amp;IF(DruidAthletics+AE26=0,"",", Athletics +"&amp;MAX(DruidAthletics,AE26))&amp;IF(ISBLANK(DruidDeception),"",",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+"&amp;DruidNature)&amp;IF(DruidPerception+AF26=0,"",", Perception +"&amp;MAX(DruidPerception,AF26))&amp;IF(ISBLANK(DruidPerformance),"",", Performance +"&amp;DruidPerformance)&amp;IF(ISBLANK(DruidPersuasion),"",", Persuasion +"&amp;DruidPersuasion)&amp;IF(ISBLANK(DruidReligion),"",", Religion +"&amp;DruidReligion)&amp;IF(ISBLANK(DruidSleightofHand),"",", Sleight of Hand +"&amp;DruidSleightofHand)&amp;IF(DruidStealth+AG26=0,"",", Stealth +"&amp;MAX(DruidStealth,AG26))&amp;IF(ISBLANK(DruidSurvival),"",", Survival +"&amp;DruidSurvival)</f>
        <v/>
      </c>
      <c r="AJ26" s="1" t="e">
        <f>RIGHT(AI26,LEN(AI26)-2)</f>
        <v>#VALUE!</v>
      </c>
      <c r="AK2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6" s="1" t="s">
        <v>173</v>
      </c>
      <c r="AN26" s="3">
        <f>IF(DruidPerception+AF26=0,10+(ROUNDDOWN((AC26-10)/2,0)),10+MAX(DruidPerception,AF26))</f>
        <v>5</v>
      </c>
      <c r="AT26" s="3" t="s">
        <v>49</v>
      </c>
      <c r="AU26" s="3" t="s">
        <v>148</v>
      </c>
      <c r="AV26" s="3" t="s">
        <v>244</v>
      </c>
      <c r="AW26" s="3" t="s">
        <v>173</v>
      </c>
      <c r="AZ26" s="3"/>
      <c r="BA26" s="3" t="s">
        <v>245</v>
      </c>
      <c r="BB26" s="3" t="s">
        <v>150</v>
      </c>
      <c r="BC26" s="3" t="s">
        <v>246</v>
      </c>
      <c r="BD26" s="3" t="s">
        <v>173</v>
      </c>
      <c r="BE26" s="3" t="s">
        <v>245</v>
      </c>
      <c r="BF26" s="3">
        <v>8</v>
      </c>
      <c r="BG26" s="3" t="s">
        <v>248</v>
      </c>
      <c r="BH26" s="3" t="s">
        <v>247</v>
      </c>
      <c r="BI26" s="3" t="s">
        <v>150</v>
      </c>
      <c r="BJ26" s="3" t="s">
        <v>249</v>
      </c>
      <c r="BK26" s="3" t="s">
        <v>173</v>
      </c>
      <c r="BL26" s="3" t="s">
        <v>247</v>
      </c>
      <c r="BM26" s="3">
        <v>8</v>
      </c>
      <c r="BN26" s="3" t="s">
        <v>250</v>
      </c>
      <c r="BR26" s="3" t="s">
        <v>173</v>
      </c>
      <c r="BY26" s="3" t="s">
        <v>173</v>
      </c>
      <c r="CJ26" s="6">
        <v>4</v>
      </c>
      <c r="CK26" s="6">
        <f>IF(CJ26&lt;0.26,2,IF(CJ26&lt;0.51,4,IF(CJ26&lt;1.1,8,99)))</f>
        <v>99</v>
      </c>
      <c r="CL26" s="3">
        <f>IF(M26="Elemental",10,IF(CJ26&lt;2,2,CJ26*3))</f>
        <v>12</v>
      </c>
      <c r="CM26" s="3">
        <f>IF(W26&gt;0,8,0)</f>
        <v>0</v>
      </c>
      <c r="CN26" s="3">
        <f>IF(X26&gt;0,4,0)</f>
        <v>0</v>
      </c>
    </row>
    <row r="27" spans="1:92">
      <c r="A27" s="3" t="str">
        <f>IF(DruidLevel&lt;B27,"",CHAR(9)&amp;"&lt;monster&gt;"&amp;CHAR(13)&amp;CHAR(9)&amp;CHAR(9)&amp;"&lt;name&gt;"&amp;L27&amp;" (Wild Shape)&lt;/name&gt;"&amp;CHAR(13)&amp;CHAR(9)&amp;CHAR(9)&amp;"&lt;size&gt;"&amp;LEFT(P27,1)&amp;"&lt;/size&gt;"&amp;CHAR(13)&amp;CHAR(9)&amp;CHAR(9)&amp;"&lt;type&gt;"&amp;M27&amp;"&lt;/type&gt;"&amp;CHAR(13)&amp;CHAR(9)&amp;CHAR(9)&amp;"&lt;alignment&gt;"&amp;N27&amp;"&lt;/alignment&gt;"&amp;CHAR(13)&amp;CHAR(9)&amp;CHAR(9)&amp;"&lt;ac&gt;"&amp;Q27&amp;IF(ISBLANK(R27),""," ("&amp;R27&amp;")")&amp;"&lt;/ac&gt;"&amp;CHAR(13)&amp;CHAR(9)&amp;CHAR(9)&amp;"&lt;hp&gt;"&amp;S27&amp;"&lt;/hp&gt;"&amp;CHAR(13)&amp;CHAR(9)&amp;CHAR(9)&amp;"&lt;speed&gt;"&amp;E27&amp;"&lt;/speed&gt;"&amp;CHAR(13)&amp;CHAR(9)&amp;CHAR(9)&amp;"&lt;str&gt;"&amp;Y27&amp;"&lt;/str&gt;&lt;dex&gt;"&amp;Z27&amp;"&lt;/dex&gt;&lt;con&gt;"&amp;AA27&amp;"&lt;/con&gt;&lt;int&gt;"&amp;AB27&amp;"&lt;/int&gt;&lt;wis&gt;"&amp;AC27&amp;"&lt;/wis&gt;&lt;cha&gt;"&amp;AD27&amp;"&lt;/cha&gt;"&amp;CHAR(13)&amp;CHAR(9)&amp;CHAR(9)&amp;"&lt;save&gt;"&amp;AK27&amp;"&lt;/save&gt;"&amp;CHAR(13)&amp;CHAR(9)&amp;CHAR(9)&amp;"&lt;skill&gt;"&amp;AJ27&amp;"&lt;/skill&gt;"&amp;CHAR(13)&amp;CHAR(9)&amp;CHAR(9)&amp;"&lt;vulnerable&gt;"&amp;AO27&amp;"&lt;/vulnerable&gt;"&amp;CHAR(13)&amp;CHAR(9)&amp;CHAR(9)&amp;"&lt;resist&gt;"&amp;AP27&amp;"&lt;/resist&gt;"&amp;CHAR(13)&amp;CHAR(9)&amp;CHAR(9)&amp;"&lt;immune&gt;"&amp;AQ27&amp;"&lt;/immune&gt;"&amp;CHAR(13)&amp;CHAR(9)&amp;CHAR(9)&amp;"&lt;conditionImmune&gt;"&amp;AR27&amp;"&lt;/conditionImmune&gt;"&amp;CHAR(13)&amp;CHAR(9)&amp;CHAR(9)&amp;"&lt;senses&gt;"&amp;AM27&amp;"&lt;/senses&gt;"&amp;CHAR(13)&amp;CHAR(9)&amp;CHAR(9)&amp;"&lt;passive&gt;"&amp;AN27&amp;"&lt;/passive&gt;"&amp;CHAR(13)&amp;CHAR(9)&amp;CHAR(9)&amp;"&lt;languages&gt;"&amp;AS27&amp;"&lt;/languages&gt;"&amp;CHAR(13)&amp;CHAR(9)&amp;CHAR(9)&amp;"&lt;cr&gt;"&amp;O27&amp;"&lt;/cr&gt;"&amp;F27&amp;G27&amp;H27&amp;I27&amp;J27&amp;K27&amp;IF(C27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7" s="3">
        <f>IF(COTM=TRUE,MAX(CL27,CM27,CN27),MAX(CK27,CM27,CN27))</f>
        <v>2</v>
      </c>
      <c r="C27" s="11" t="str">
        <f>IF(COTM=FALSE,"",IF(DruidLevel&gt;5,"Y",""))</f>
        <v/>
      </c>
      <c r="D27" s="3" t="s">
        <v>173</v>
      </c>
      <c r="E27" s="3" t="str">
        <f>T27&amp;" ft."&amp;IF(U27+V27+W27+X27=0,"",", ")&amp;IF(ISBLANK(U27),"","burrow "&amp;U27&amp;" ft."&amp;IF(V27+W27+X27=0,"",", "))&amp;IF(ISBLANK(V27),"","climb "&amp;V27&amp;" ft."&amp;IF(W27+X27=0,"",", "))&amp;IF(ISBLANK(W27),"","fly "&amp;W27&amp;" ft."&amp;IF(X27=0,"",", "))&amp;IF(ISBLANK(X27),"","swim "&amp;X27&amp;" ft.")</f>
        <v>50 ft.</v>
      </c>
      <c r="F27" s="3" t="str">
        <f>IF(ISBLANK(AT27),"",CHAR(13)&amp;CHAR(9)&amp;CHAR(9)&amp;"&lt;"&amp;AU27&amp;"&gt;"&amp;CHAR(13)&amp;CHAR(9)&amp;CHAR(9)&amp;CHAR(9)&amp;"&lt;name&gt;"&amp;AT27&amp;"&lt;/name&gt;"&amp;CHAR(13)&amp;CHAR(9)&amp;CHAR(9)&amp;CHAR(9)&amp;"&lt;text&gt;"&amp;AV27&amp;"&lt;/text&gt;"&amp;IF(ISBLANK(AX27),"",CHAR(13)&amp;CHAR(9)&amp;CHAR(9)&amp;CHAR(9)&amp;"&lt;attack&gt;"&amp;AX27&amp;"|"&amp;AY27&amp;"|"&amp;AZ27&amp;"&lt;/attack&gt;")&amp;CHAR(13)&amp;CHAR(9)&amp;CHAR(9)&amp;"&lt;/"&amp;AU27&amp;"&gt;")</f>
        <v>_x000D_		&lt;trait&gt;_x000D_			&lt;name&gt;Charge&lt;/name&gt;_x000D_			&lt;text&gt;If the elk moves at least 20 feet straight toward a target and then hits it with a ram attack on the same turn, the target takes an extra 7 (2d6) damage. If the target is a creature, it must succeed on a DC 13 Strength saving throw or be knocked prone.&lt;/text&gt;_x000D_		&lt;/trait&gt;</v>
      </c>
      <c r="G27" s="3" t="str">
        <f>IF(ISBLANK(BA27),"",CHAR(13)&amp;CHAR(9)&amp;CHAR(9)&amp;"&lt;"&amp;BB27&amp;"&gt;"&amp;CHAR(13)&amp;CHAR(9)&amp;CHAR(9)&amp;CHAR(9)&amp;"&lt;name&gt;"&amp;BA27&amp;"&lt;/name&gt;"&amp;CHAR(13)&amp;CHAR(9)&amp;CHAR(9)&amp;CHAR(9)&amp;"&lt;text&gt;"&amp;BC27&amp;"&lt;/text&gt;"&amp;IF(ISBLANK(BE27),"",CHAR(13)&amp;CHAR(9)&amp;CHAR(9)&amp;CHAR(9)&amp;"&lt;attack&gt;"&amp;BE27&amp;"|"&amp;BF27&amp;"|"&amp;BG27&amp;"&lt;/attack&gt;")&amp;CHAR(13)&amp;CHAR(9)&amp;CHAR(9)&amp;"&lt;/"&amp;BB27&amp;"&gt;")</f>
        <v>_x000D_		&lt;action&gt;_x000D_			&lt;name&gt;Ram&lt;/name&gt;_x000D_			&lt;text&gt;Melee Weapon Attack: +5 to hit, reach 5 ft., one target. Hit: 6 (1d6+3) bludgeoning damage.&lt;/text&gt;_x000D_		&lt;/action&gt;</v>
      </c>
      <c r="H27" s="3" t="str">
        <f>IF(ISBLANK(BH27),"",CHAR(13)&amp;CHAR(9)&amp;CHAR(9)&amp;"&lt;"&amp;BI27&amp;"&gt;"&amp;CHAR(13)&amp;CHAR(9)&amp;CHAR(9)&amp;CHAR(9)&amp;"&lt;name&gt;"&amp;BH27&amp;"&lt;/name&gt;"&amp;CHAR(13)&amp;CHAR(9)&amp;CHAR(9)&amp;CHAR(9)&amp;"&lt;text&gt;"&amp;BJ27&amp;"&lt;/text&gt;"&amp;IF(ISBLANK(BL27),"",CHAR(13)&amp;CHAR(9)&amp;CHAR(9)&amp;CHAR(9)&amp;"&lt;attack&gt;"&amp;BL27&amp;"|"&amp;BM27&amp;"|"&amp;BN27&amp;"&lt;/attack&gt;")&amp;CHAR(13)&amp;CHAR(9)&amp;CHAR(9)&amp;"&lt;/"&amp;BI27&amp;"&gt;")</f>
        <v>_x000D_		&lt;action&gt;_x000D_			&lt;name&gt;Hooves&lt;/name&gt;_x000D_			&lt;text&gt;Melee Weapon Attack: +5 to hit, reach 5 ft., one prone creature. Hit: 8 (2d4+3) bludgeoning damage.&lt;/text&gt;_x000D_		&lt;/action&gt;</v>
      </c>
      <c r="I27" s="3" t="str">
        <f>IF(ISBLANK(BO27),"",CHAR(13)&amp;CHAR(9)&amp;CHAR(9)&amp;"&lt;"&amp;BP27&amp;"&gt;"&amp;CHAR(13)&amp;CHAR(9)&amp;CHAR(9)&amp;CHAR(9)&amp;"&lt;name&gt;"&amp;BO27&amp;"&lt;/name&gt;"&amp;CHAR(13)&amp;CHAR(9)&amp;CHAR(9)&amp;CHAR(9)&amp;"&lt;text&gt;"&amp;BQ27&amp;"&lt;/text&gt;"&amp;IF(ISBLANK(BS27),"",CHAR(13)&amp;CHAR(9)&amp;CHAR(9)&amp;CHAR(9)&amp;"&lt;attack&gt;"&amp;BS27&amp;"|"&amp;BT27&amp;"|"&amp;BU27&amp;"&lt;/attack&gt;")&amp;CHAR(13)&amp;CHAR(9)&amp;CHAR(9)&amp;"&lt;/"&amp;BP27&amp;"&gt;")</f>
        <v/>
      </c>
      <c r="J27" s="3" t="str">
        <f>IF(ISBLANK(BV27),"",CHAR(13)&amp;CHAR(9)&amp;CHAR(9)&amp;"&lt;"&amp;BW27&amp;"&gt;"&amp;CHAR(13)&amp;CHAR(9)&amp;CHAR(9)&amp;CHAR(9)&amp;"&lt;name&gt;"&amp;BV27&amp;"&lt;/name&gt;"&amp;CHAR(13)&amp;CHAR(9)&amp;CHAR(9)&amp;CHAR(9)&amp;"&lt;text&gt;"&amp;BX27&amp;"&lt;/text&gt;"&amp;IF(ISBLANK(BZ27),"",CHAR(13)&amp;CHAR(9)&amp;CHAR(9)&amp;CHAR(9)&amp;"&lt;attack&gt;"&amp;BZ27&amp;"|"&amp;CA27&amp;"|"&amp;CB27&amp;"&lt;/attack&gt;")&amp;CHAR(13)&amp;CHAR(9)&amp;CHAR(9)&amp;"&lt;/"&amp;BW27&amp;"&gt;")</f>
        <v/>
      </c>
      <c r="K27" s="3" t="str">
        <f>IF(ISBLANK(CC27),"",CHAR(13)&amp;CHAR(9)&amp;CHAR(9)&amp;"&lt;"&amp;CD27&amp;"&gt;"&amp;CHAR(13)&amp;CHAR(9)&amp;CHAR(9)&amp;CHAR(9)&amp;"&lt;name&gt;"&amp;CC27&amp;"&lt;/name&gt;"&amp;CHAR(13)&amp;CHAR(9)&amp;CHAR(9)&amp;CHAR(9)&amp;"&lt;text&gt;"&amp;CE27&amp;"&lt;/text&gt;"&amp;IF(ISBLANK(CG27),"",CHAR(13)&amp;CHAR(9)&amp;CHAR(9)&amp;CHAR(9)&amp;"&lt;attack&gt;"&amp;CG27&amp;"|"&amp;CH27&amp;"|"&amp;CI27&amp;"&lt;/attack&gt;")&amp;CHAR(13)&amp;CHAR(9)&amp;CHAR(9)&amp;"&lt;/"&amp;CD27&amp;"&gt;")</f>
        <v/>
      </c>
      <c r="L27" s="1" t="s">
        <v>37</v>
      </c>
      <c r="M27" s="1" t="s">
        <v>275</v>
      </c>
      <c r="N27" s="1">
        <f>DruidAlignment</f>
        <v>0</v>
      </c>
      <c r="O27" s="2" t="s">
        <v>208</v>
      </c>
      <c r="P27" s="1" t="s">
        <v>2</v>
      </c>
      <c r="Q27" s="1">
        <v>10</v>
      </c>
      <c r="R27" s="1"/>
      <c r="S27" s="1">
        <v>13</v>
      </c>
      <c r="T27" s="1">
        <v>50</v>
      </c>
      <c r="Y27" s="1">
        <v>16</v>
      </c>
      <c r="Z27" s="1">
        <v>10</v>
      </c>
      <c r="AA27" s="1">
        <v>12</v>
      </c>
      <c r="AB27" s="10">
        <f>DruidInt</f>
        <v>0</v>
      </c>
      <c r="AC27" s="10">
        <f>DruidWis</f>
        <v>0</v>
      </c>
      <c r="AD27" s="10">
        <f>DruidCha</f>
        <v>0</v>
      </c>
      <c r="AE27" s="12"/>
      <c r="AF27" s="12">
        <v>3</v>
      </c>
      <c r="AG27" s="12"/>
      <c r="AH27" s="12" t="s">
        <v>173</v>
      </c>
      <c r="AI27" s="12" t="str">
        <f>IF(ISBLANK(DruidAcrobatics),"",", Acrobatics +"&amp;DruidAcrobatics)&amp;IF(ISBLANK(DruidAnimalHandling),"",", Animal Handling +"&amp;DruidAnimalHandling)&amp;IF(ISBLANK(DruidArcana),"",", Arcana +"&amp;DruidArcana)&amp;IF(DruidAthletics+AE27=0,"",", Athletics +"&amp;MAX(DruidAthletics,AE27))&amp;IF(ISBLANK(DruidDeception),"",",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+"&amp;DruidNature)&amp;IF(DruidPerception+AF27=0,"",", Perception +"&amp;MAX(DruidPerception,AF27))&amp;IF(ISBLANK(DruidPerformance),"",", Performance +"&amp;DruidPerformance)&amp;IF(ISBLANK(DruidPersuasion),"",", Persuasion +"&amp;DruidPersuasion)&amp;IF(ISBLANK(DruidReligion),"",", Religion +"&amp;DruidReligion)&amp;IF(ISBLANK(DruidSleightofHand),"",", Sleight of Hand +"&amp;DruidSleightofHand)&amp;IF(DruidStealth+AG27=0,"",", Stealth +"&amp;MAX(DruidStealth,AG27))&amp;IF(ISBLANK(DruidSurvival),"",", Survival +"&amp;DruidSurvival)</f>
        <v>, Perception +3</v>
      </c>
      <c r="AJ27" s="1" t="str">
        <f>RIGHT(AI27,LEN(AI27)-2)</f>
        <v>Perception +3</v>
      </c>
      <c r="AK2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7" s="1" t="s">
        <v>173</v>
      </c>
      <c r="AN27" s="3">
        <f>IF(DruidPerception+AF27=0,10+(ROUNDDOWN((AC27-10)/2,0)),10+MAX(DruidPerception,AF27))</f>
        <v>13</v>
      </c>
      <c r="AT27" s="3" t="s">
        <v>38</v>
      </c>
      <c r="AU27" s="3" t="s">
        <v>148</v>
      </c>
      <c r="AV27" s="3" t="s">
        <v>251</v>
      </c>
      <c r="AW27" s="3" t="s">
        <v>173</v>
      </c>
      <c r="AZ27" s="3"/>
      <c r="BA27" s="3" t="s">
        <v>252</v>
      </c>
      <c r="BB27" s="3" t="s">
        <v>150</v>
      </c>
      <c r="BC27" s="3" t="s">
        <v>433</v>
      </c>
      <c r="BD27" s="3" t="s">
        <v>173</v>
      </c>
      <c r="BF27" s="3">
        <v>5</v>
      </c>
      <c r="BG27" s="3" t="s">
        <v>171</v>
      </c>
      <c r="BH27" s="3" t="s">
        <v>240</v>
      </c>
      <c r="BI27" s="3" t="s">
        <v>150</v>
      </c>
      <c r="BJ27" s="3" t="s">
        <v>446</v>
      </c>
      <c r="BK27" s="3" t="s">
        <v>173</v>
      </c>
      <c r="BM27" s="3">
        <v>5</v>
      </c>
      <c r="BN27" s="3" t="s">
        <v>253</v>
      </c>
      <c r="BR27" s="3" t="s">
        <v>173</v>
      </c>
      <c r="BY27" s="3" t="s">
        <v>173</v>
      </c>
      <c r="CJ27" s="6">
        <v>0.25</v>
      </c>
      <c r="CK27" s="6">
        <f>IF(CJ27&lt;0.26,2,IF(CJ27&lt;0.51,4,IF(CJ27&lt;1.1,8,99)))</f>
        <v>2</v>
      </c>
      <c r="CL27" s="3">
        <f>IF(M27="Elemental",10,IF(CJ27&lt;2,2,CJ27*3))</f>
        <v>2</v>
      </c>
      <c r="CM27" s="3">
        <f>IF(W27&gt;0,8,0)</f>
        <v>0</v>
      </c>
      <c r="CN27" s="3">
        <f>IF(X27&gt;0,4,0)</f>
        <v>0</v>
      </c>
    </row>
    <row r="28" spans="1:92">
      <c r="A28" s="3" t="str">
        <f>IF(DruidLevel&lt;B28,"",CHAR(9)&amp;"&lt;monster&gt;"&amp;CHAR(13)&amp;CHAR(9)&amp;CHAR(9)&amp;"&lt;name&gt;"&amp;L28&amp;" (Wild Shape)&lt;/name&gt;"&amp;CHAR(13)&amp;CHAR(9)&amp;CHAR(9)&amp;"&lt;size&gt;"&amp;LEFT(P28,1)&amp;"&lt;/size&gt;"&amp;CHAR(13)&amp;CHAR(9)&amp;CHAR(9)&amp;"&lt;type&gt;"&amp;M28&amp;"&lt;/type&gt;"&amp;CHAR(13)&amp;CHAR(9)&amp;CHAR(9)&amp;"&lt;alignment&gt;"&amp;N28&amp;"&lt;/alignment&gt;"&amp;CHAR(13)&amp;CHAR(9)&amp;CHAR(9)&amp;"&lt;ac&gt;"&amp;Q28&amp;IF(ISBLANK(R28),""," ("&amp;R28&amp;")")&amp;"&lt;/ac&gt;"&amp;CHAR(13)&amp;CHAR(9)&amp;CHAR(9)&amp;"&lt;hp&gt;"&amp;S28&amp;"&lt;/hp&gt;"&amp;CHAR(13)&amp;CHAR(9)&amp;CHAR(9)&amp;"&lt;speed&gt;"&amp;E28&amp;"&lt;/speed&gt;"&amp;CHAR(13)&amp;CHAR(9)&amp;CHAR(9)&amp;"&lt;str&gt;"&amp;Y28&amp;"&lt;/str&gt;&lt;dex&gt;"&amp;Z28&amp;"&lt;/dex&gt;&lt;con&gt;"&amp;AA28&amp;"&lt;/con&gt;&lt;int&gt;"&amp;AB28&amp;"&lt;/int&gt;&lt;wis&gt;"&amp;AC28&amp;"&lt;/wis&gt;&lt;cha&gt;"&amp;AD28&amp;"&lt;/cha&gt;"&amp;CHAR(13)&amp;CHAR(9)&amp;CHAR(9)&amp;"&lt;save&gt;"&amp;AK28&amp;"&lt;/save&gt;"&amp;CHAR(13)&amp;CHAR(9)&amp;CHAR(9)&amp;"&lt;skill&gt;"&amp;AJ28&amp;"&lt;/skill&gt;"&amp;CHAR(13)&amp;CHAR(9)&amp;CHAR(9)&amp;"&lt;vulnerable&gt;"&amp;AO28&amp;"&lt;/vulnerable&gt;"&amp;CHAR(13)&amp;CHAR(9)&amp;CHAR(9)&amp;"&lt;resist&gt;"&amp;AP28&amp;"&lt;/resist&gt;"&amp;CHAR(13)&amp;CHAR(9)&amp;CHAR(9)&amp;"&lt;immune&gt;"&amp;AQ28&amp;"&lt;/immune&gt;"&amp;CHAR(13)&amp;CHAR(9)&amp;CHAR(9)&amp;"&lt;conditionImmune&gt;"&amp;AR28&amp;"&lt;/conditionImmune&gt;"&amp;CHAR(13)&amp;CHAR(9)&amp;CHAR(9)&amp;"&lt;senses&gt;"&amp;AM28&amp;"&lt;/senses&gt;"&amp;CHAR(13)&amp;CHAR(9)&amp;CHAR(9)&amp;"&lt;passive&gt;"&amp;AN28&amp;"&lt;/passive&gt;"&amp;CHAR(13)&amp;CHAR(9)&amp;CHAR(9)&amp;"&lt;languages&gt;"&amp;AS28&amp;"&lt;/languages&gt;"&amp;CHAR(13)&amp;CHAR(9)&amp;CHAR(9)&amp;"&lt;cr&gt;"&amp;O28&amp;"&lt;/cr&gt;"&amp;F28&amp;G28&amp;H28&amp;I28&amp;J28&amp;K28&amp;IF(C28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8" s="3">
        <f>IF(COTM=TRUE,MAX(CL28,CM28,CN28),MAX(CK28,CM28,CN28))</f>
        <v>99</v>
      </c>
      <c r="C28" s="11" t="str">
        <f>IF(COTM=FALSE,"",IF(DruidLevel&gt;5,"Y",""))</f>
        <v/>
      </c>
      <c r="D28" s="3" t="s">
        <v>173</v>
      </c>
      <c r="E28" s="3" t="str">
        <f>T28&amp;" ft."&amp;IF(U28+V28+W28+X28=0,"",", ")&amp;IF(ISBLANK(U28),"","burrow "&amp;U28&amp;" ft."&amp;IF(V28+W28+X28=0,"",", "))&amp;IF(ISBLANK(V28),"","climb "&amp;V28&amp;" ft."&amp;IF(W28+X28=0,"",", "))&amp;IF(ISBLANK(W28),"","fly "&amp;W28&amp;" ft."&amp;IF(X28=0,"",", "))&amp;IF(ISBLANK(X28),"","swim "&amp;X28&amp;" ft.")</f>
        <v>50 ft.</v>
      </c>
      <c r="F28" s="3" t="str">
        <f>IF(ISBLANK(AT28),"",CHAR(13)&amp;CHAR(9)&amp;CHAR(9)&amp;"&lt;"&amp;AU28&amp;"&gt;"&amp;CHAR(13)&amp;CHAR(9)&amp;CHAR(9)&amp;CHAR(9)&amp;"&lt;name&gt;"&amp;AT28&amp;"&lt;/name&gt;"&amp;CHAR(13)&amp;CHAR(9)&amp;CHAR(9)&amp;CHAR(9)&amp;"&lt;text&gt;"&amp;AV28&amp;"&lt;/text&gt;"&amp;IF(ISBLANK(AX28),"",CHAR(13)&amp;CHAR(9)&amp;CHAR(9)&amp;CHAR(9)&amp;"&lt;attack&gt;"&amp;AX28&amp;"|"&amp;AY28&amp;"|"&amp;AZ28&amp;"&lt;/attack&gt;")&amp;CHAR(13)&amp;CHAR(9)&amp;CHAR(9)&amp;"&lt;/"&amp;AU28&amp;"&gt;")</f>
        <v>_x000D_		&lt;trait&gt;_x000D_			&lt;name&gt;Fire Form&lt;/name&gt;_x000D_			&lt;text&gt;The elemental can move through a space as narrow as 1 inch wide without squeezing. A creature that touches the elemental or hits it with a melee attack while within 5 feet of it takes 5 (1d10) fire damage. In addition, the elemental can enter a hostile creature's space and stop there. The first time it enters a creature's space on a turn, that creature takes 5 (1d10) fire damage and catches fire; until someone takes an action to douse the fire, the creature takes 5 (1d10) fire damage at the start of each of its turns.&lt;/text&gt;_x000D_		&lt;/trait&gt;</v>
      </c>
      <c r="G28" s="3" t="str">
        <f>IF(ISBLANK(BA28),"",CHAR(13)&amp;CHAR(9)&amp;CHAR(9)&amp;"&lt;"&amp;BB28&amp;"&gt;"&amp;CHAR(13)&amp;CHAR(9)&amp;CHAR(9)&amp;CHAR(9)&amp;"&lt;name&gt;"&amp;BA28&amp;"&lt;/name&gt;"&amp;CHAR(13)&amp;CHAR(9)&amp;CHAR(9)&amp;CHAR(9)&amp;"&lt;text&gt;"&amp;BC28&amp;"&lt;/text&gt;"&amp;IF(ISBLANK(BE28),"",CHAR(13)&amp;CHAR(9)&amp;CHAR(9)&amp;CHAR(9)&amp;"&lt;attack&gt;"&amp;BE28&amp;"|"&amp;BF28&amp;"|"&amp;BG28&amp;"&lt;/attack&gt;")&amp;CHAR(13)&amp;CHAR(9)&amp;CHAR(9)&amp;"&lt;/"&amp;BB28&amp;"&gt;")</f>
        <v>_x000D_		&lt;trait&gt;_x000D_			&lt;name&gt;Illumination&lt;/name&gt;_x000D_			&lt;text&gt;The elemental sheds bright light in a 30-foot radius and dim light in an additional 30 feet.&lt;/text&gt;_x000D_		&lt;/trait&gt;</v>
      </c>
      <c r="H28" s="3" t="str">
        <f>IF(ISBLANK(BH28),"",CHAR(13)&amp;CHAR(9)&amp;CHAR(9)&amp;"&lt;"&amp;BI28&amp;"&gt;"&amp;CHAR(13)&amp;CHAR(9)&amp;CHAR(9)&amp;CHAR(9)&amp;"&lt;name&gt;"&amp;BH28&amp;"&lt;/name&gt;"&amp;CHAR(13)&amp;CHAR(9)&amp;CHAR(9)&amp;CHAR(9)&amp;"&lt;text&gt;"&amp;BJ28&amp;"&lt;/text&gt;"&amp;IF(ISBLANK(BL28),"",CHAR(13)&amp;CHAR(9)&amp;CHAR(9)&amp;CHAR(9)&amp;"&lt;attack&gt;"&amp;BL28&amp;"|"&amp;BM28&amp;"|"&amp;BN28&amp;"&lt;/attack&gt;")&amp;CHAR(13)&amp;CHAR(9)&amp;CHAR(9)&amp;"&lt;/"&amp;BI28&amp;"&gt;")</f>
        <v>_x000D_		&lt;trait&gt;_x000D_			&lt;name&gt;Water Susceptibility&lt;/name&gt;_x000D_			&lt;text&gt;For every 5 feet the elemental moves in water, or for every gallon of water splashed on it, it takes 1 cold damage.&lt;/text&gt;_x000D_		&lt;/trait&gt;</v>
      </c>
      <c r="I28" s="3" t="str">
        <f>IF(ISBLANK(BO28),"",CHAR(13)&amp;CHAR(9)&amp;CHAR(9)&amp;"&lt;"&amp;BP28&amp;"&gt;"&amp;CHAR(13)&amp;CHAR(9)&amp;CHAR(9)&amp;CHAR(9)&amp;"&lt;name&gt;"&amp;BO28&amp;"&lt;/name&gt;"&amp;CHAR(13)&amp;CHAR(9)&amp;CHAR(9)&amp;CHAR(9)&amp;"&lt;text&gt;"&amp;BQ28&amp;"&lt;/text&gt;"&amp;IF(ISBLANK(BS28),"",CHAR(13)&amp;CHAR(9)&amp;CHAR(9)&amp;CHAR(9)&amp;"&lt;attack&gt;"&amp;BS28&amp;"|"&amp;BT28&amp;"|"&amp;BU28&amp;"&lt;/attack&gt;")&amp;CHAR(13)&amp;CHAR(9)&amp;CHAR(9)&amp;"&lt;/"&amp;BP28&amp;"&gt;")</f>
        <v>_x000D_		&lt;action&gt;_x000D_			&lt;name&gt;Multiattack&lt;/name&gt;_x000D_			&lt;text&gt;The elemental makes two touch attacks.&lt;/text&gt;_x000D_		&lt;/action&gt;</v>
      </c>
      <c r="J28" s="3" t="str">
        <f>IF(ISBLANK(BV28),"",CHAR(13)&amp;CHAR(9)&amp;CHAR(9)&amp;"&lt;"&amp;BW28&amp;"&gt;"&amp;CHAR(13)&amp;CHAR(9)&amp;CHAR(9)&amp;CHAR(9)&amp;"&lt;name&gt;"&amp;BV28&amp;"&lt;/name&gt;"&amp;CHAR(13)&amp;CHAR(9)&amp;CHAR(9)&amp;CHAR(9)&amp;"&lt;text&gt;"&amp;BX28&amp;"&lt;/text&gt;"&amp;IF(ISBLANK(BZ28),"",CHAR(13)&amp;CHAR(9)&amp;CHAR(9)&amp;CHAR(9)&amp;"&lt;attack&gt;"&amp;BZ28&amp;"|"&amp;CA28&amp;"|"&amp;CB28&amp;"&lt;/attack&gt;")&amp;CHAR(13)&amp;CHAR(9)&amp;CHAR(9)&amp;"&lt;/"&amp;BW28&amp;"&gt;")</f>
        <v>_x000D_		&lt;action&gt;_x000D_			&lt;name&gt;Touch&lt;/name&gt;_x000D_			&lt;text&gt;Melee Weapon Attack: +6 to hit, reach 5 ft., one target. Hit: 10 (2d6 + 3) fire damage. If the target is a creature or a flammable object, it ignites. Until a creature takes an action to douse the fire, the target takes 5 (1d10) fire damage at the start of each of its turns.&lt;/text&gt;_x000D_			&lt;attack&gt;Touch|6|2d6+3&lt;/attack&gt;_x000D_		&lt;/action&gt;</v>
      </c>
      <c r="K28" s="3" t="str">
        <f>IF(ISBLANK(CC28),"",CHAR(13)&amp;CHAR(9)&amp;CHAR(9)&amp;"&lt;"&amp;CD28&amp;"&gt;"&amp;CHAR(13)&amp;CHAR(9)&amp;CHAR(9)&amp;CHAR(9)&amp;"&lt;name&gt;"&amp;CC28&amp;"&lt;/name&gt;"&amp;CHAR(13)&amp;CHAR(9)&amp;CHAR(9)&amp;CHAR(9)&amp;"&lt;text&gt;"&amp;CE28&amp;"&lt;/text&gt;"&amp;IF(ISBLANK(CG28),"",CHAR(13)&amp;CHAR(9)&amp;CHAR(9)&amp;CHAR(9)&amp;"&lt;attack&gt;"&amp;CG28&amp;"|"&amp;CH28&amp;"|"&amp;CI28&amp;"&lt;/attack&gt;")&amp;CHAR(13)&amp;CHAR(9)&amp;CHAR(9)&amp;"&lt;/"&amp;CD28&amp;"&gt;")</f>
        <v/>
      </c>
      <c r="L28" s="1" t="s">
        <v>5</v>
      </c>
      <c r="M28" s="1" t="s">
        <v>276</v>
      </c>
      <c r="N28" s="1">
        <f>DruidAlignment</f>
        <v>0</v>
      </c>
      <c r="O28" s="4">
        <v>5</v>
      </c>
      <c r="P28" s="1" t="s">
        <v>2</v>
      </c>
      <c r="Q28" s="3">
        <v>13</v>
      </c>
      <c r="S28" s="3">
        <v>102</v>
      </c>
      <c r="T28" s="3">
        <v>50</v>
      </c>
      <c r="Y28" s="3">
        <v>10</v>
      </c>
      <c r="Z28" s="3">
        <v>17</v>
      </c>
      <c r="AA28" s="3">
        <v>16</v>
      </c>
      <c r="AB28" s="10">
        <f>DruidInt</f>
        <v>0</v>
      </c>
      <c r="AC28" s="10">
        <f>DruidWis</f>
        <v>0</v>
      </c>
      <c r="AD28" s="10">
        <f>DruidCha</f>
        <v>0</v>
      </c>
      <c r="AE28" s="12"/>
      <c r="AF28" s="12">
        <v>4</v>
      </c>
      <c r="AG28" s="12"/>
      <c r="AH28" s="12" t="s">
        <v>173</v>
      </c>
      <c r="AI28" s="12" t="str">
        <f>IF(ISBLANK(DruidAcrobatics),"",", Acrobatics +"&amp;DruidAcrobatics)&amp;IF(ISBLANK(DruidAnimalHandling),"",", Animal Handling +"&amp;DruidAnimalHandling)&amp;IF(ISBLANK(DruidArcana),"",", Arcana +"&amp;DruidArcana)&amp;IF(DruidAthletics+AE28=0,"",", Athletics +"&amp;MAX(DruidAthletics,AE28))&amp;IF(ISBLANK(DruidDeception),"",",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+"&amp;DruidNature)&amp;IF(DruidPerception+AF28=0,"",", Perception +"&amp;MAX(DruidPerception,AF28))&amp;IF(ISBLANK(DruidPerformance),"",", Performance +"&amp;DruidPerformance)&amp;IF(ISBLANK(DruidPersuasion),"",", Persuasion +"&amp;DruidPersuasion)&amp;IF(ISBLANK(DruidReligion),"",", Religion +"&amp;DruidReligion)&amp;IF(ISBLANK(DruidSleightofHand),"",", Sleight of Hand +"&amp;DruidSleightofHand)&amp;IF(DruidStealth+AG28=0,"",", Stealth +"&amp;MAX(DruidStealth,AG28))&amp;IF(ISBLANK(DruidSurvival),"",", Survival +"&amp;DruidSurvival)</f>
        <v>, Perception +4</v>
      </c>
      <c r="AJ28" s="1" t="str">
        <f>RIGHT(AI28,LEN(AI28)-2)</f>
        <v>Perception +4</v>
      </c>
      <c r="AK2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8" s="1" t="s">
        <v>173</v>
      </c>
      <c r="AM28" s="3" t="s">
        <v>176</v>
      </c>
      <c r="AN28" s="3">
        <f>IF(DruidPerception+AF28=0,10+(ROUNDDOWN((AC28-10)/2,0)),10+MAX(DruidPerception,AF28))</f>
        <v>14</v>
      </c>
      <c r="AP28" s="1" t="s">
        <v>144</v>
      </c>
      <c r="AQ28" s="3" t="s">
        <v>138</v>
      </c>
      <c r="AR28" s="3" t="s">
        <v>133</v>
      </c>
      <c r="AS28" s="3" t="s">
        <v>139</v>
      </c>
      <c r="AT28" s="3" t="s">
        <v>185</v>
      </c>
      <c r="AU28" s="3" t="s">
        <v>148</v>
      </c>
      <c r="AV28" s="3" t="s">
        <v>504</v>
      </c>
      <c r="AW28" s="3" t="s">
        <v>173</v>
      </c>
      <c r="AZ28" s="9"/>
      <c r="BA28" s="3" t="s">
        <v>19</v>
      </c>
      <c r="BB28" s="3" t="s">
        <v>148</v>
      </c>
      <c r="BC28" s="3" t="s">
        <v>186</v>
      </c>
      <c r="BD28" s="3" t="s">
        <v>173</v>
      </c>
      <c r="BG28" s="9"/>
      <c r="BH28" s="3" t="s">
        <v>187</v>
      </c>
      <c r="BI28" s="3" t="s">
        <v>148</v>
      </c>
      <c r="BJ28" s="3" t="s">
        <v>188</v>
      </c>
      <c r="BK28" s="3" t="s">
        <v>173</v>
      </c>
      <c r="BN28" s="9"/>
      <c r="BO28" s="3" t="s">
        <v>149</v>
      </c>
      <c r="BP28" s="3" t="s">
        <v>150</v>
      </c>
      <c r="BQ28" s="3" t="s">
        <v>190</v>
      </c>
      <c r="BR28" s="3" t="s">
        <v>173</v>
      </c>
      <c r="BV28" s="3" t="s">
        <v>191</v>
      </c>
      <c r="BW28" s="3" t="s">
        <v>150</v>
      </c>
      <c r="BX28" s="3" t="s">
        <v>193</v>
      </c>
      <c r="BY28" s="3" t="s">
        <v>173</v>
      </c>
      <c r="BZ28" s="3" t="s">
        <v>191</v>
      </c>
      <c r="CA28" s="3">
        <v>6</v>
      </c>
      <c r="CB28" s="3" t="s">
        <v>192</v>
      </c>
      <c r="CJ28" s="6">
        <v>5</v>
      </c>
      <c r="CK28" s="6">
        <f>IF(CJ28&lt;0.26,2,IF(CJ28&lt;0.51,4,IF(CJ28&lt;1.1,8,99)))</f>
        <v>99</v>
      </c>
      <c r="CL28" s="3">
        <f>IF(M28="Elemental",10,IF(CJ28&lt;2,2,CJ28*3))</f>
        <v>10</v>
      </c>
      <c r="CM28" s="3">
        <f>IF(W28&gt;0,8,0)</f>
        <v>0</v>
      </c>
      <c r="CN28" s="3">
        <f>IF(X28&gt;0,4,0)</f>
        <v>0</v>
      </c>
    </row>
    <row r="29" spans="1:92">
      <c r="A29" s="3" t="str">
        <f>IF(DruidLevel&lt;B29,"",CHAR(9)&amp;"&lt;monster&gt;"&amp;CHAR(13)&amp;CHAR(9)&amp;CHAR(9)&amp;"&lt;name&gt;"&amp;L29&amp;" (Wild Shape)&lt;/name&gt;"&amp;CHAR(13)&amp;CHAR(9)&amp;CHAR(9)&amp;"&lt;size&gt;"&amp;LEFT(P29,1)&amp;"&lt;/size&gt;"&amp;CHAR(13)&amp;CHAR(9)&amp;CHAR(9)&amp;"&lt;type&gt;"&amp;M29&amp;"&lt;/type&gt;"&amp;CHAR(13)&amp;CHAR(9)&amp;CHAR(9)&amp;"&lt;alignment&gt;"&amp;N29&amp;"&lt;/alignment&gt;"&amp;CHAR(13)&amp;CHAR(9)&amp;CHAR(9)&amp;"&lt;ac&gt;"&amp;Q29&amp;IF(ISBLANK(R29),""," ("&amp;R29&amp;")")&amp;"&lt;/ac&gt;"&amp;CHAR(13)&amp;CHAR(9)&amp;CHAR(9)&amp;"&lt;hp&gt;"&amp;S29&amp;"&lt;/hp&gt;"&amp;CHAR(13)&amp;CHAR(9)&amp;CHAR(9)&amp;"&lt;speed&gt;"&amp;E29&amp;"&lt;/speed&gt;"&amp;CHAR(13)&amp;CHAR(9)&amp;CHAR(9)&amp;"&lt;str&gt;"&amp;Y29&amp;"&lt;/str&gt;&lt;dex&gt;"&amp;Z29&amp;"&lt;/dex&gt;&lt;con&gt;"&amp;AA29&amp;"&lt;/con&gt;&lt;int&gt;"&amp;AB29&amp;"&lt;/int&gt;&lt;wis&gt;"&amp;AC29&amp;"&lt;/wis&gt;&lt;cha&gt;"&amp;AD29&amp;"&lt;/cha&gt;"&amp;CHAR(13)&amp;CHAR(9)&amp;CHAR(9)&amp;"&lt;save&gt;"&amp;AK29&amp;"&lt;/save&gt;"&amp;CHAR(13)&amp;CHAR(9)&amp;CHAR(9)&amp;"&lt;skill&gt;"&amp;AJ29&amp;"&lt;/skill&gt;"&amp;CHAR(13)&amp;CHAR(9)&amp;CHAR(9)&amp;"&lt;vulnerable&gt;"&amp;AO29&amp;"&lt;/vulnerable&gt;"&amp;CHAR(13)&amp;CHAR(9)&amp;CHAR(9)&amp;"&lt;resist&gt;"&amp;AP29&amp;"&lt;/resist&gt;"&amp;CHAR(13)&amp;CHAR(9)&amp;CHAR(9)&amp;"&lt;immune&gt;"&amp;AQ29&amp;"&lt;/immune&gt;"&amp;CHAR(13)&amp;CHAR(9)&amp;CHAR(9)&amp;"&lt;conditionImmune&gt;"&amp;AR29&amp;"&lt;/conditionImmune&gt;"&amp;CHAR(13)&amp;CHAR(9)&amp;CHAR(9)&amp;"&lt;senses&gt;"&amp;AM29&amp;"&lt;/senses&gt;"&amp;CHAR(13)&amp;CHAR(9)&amp;CHAR(9)&amp;"&lt;passive&gt;"&amp;AN29&amp;"&lt;/passive&gt;"&amp;CHAR(13)&amp;CHAR(9)&amp;CHAR(9)&amp;"&lt;languages&gt;"&amp;AS29&amp;"&lt;/languages&gt;"&amp;CHAR(13)&amp;CHAR(9)&amp;CHAR(9)&amp;"&lt;cr&gt;"&amp;O29&amp;"&lt;/cr&gt;"&amp;F29&amp;G29&amp;H29&amp;I29&amp;J29&amp;K29&amp;IF(C29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29" s="3">
        <f>IF(COTM=TRUE,MAX(CL29,CM29,CN29),MAX(CK29,CM29,CN29))</f>
        <v>8</v>
      </c>
      <c r="C29" s="11" t="str">
        <f>IF(COTM=FALSE,"",IF(DruidLevel&gt;5,"Y",""))</f>
        <v/>
      </c>
      <c r="D29" s="3" t="s">
        <v>173</v>
      </c>
      <c r="E29" s="3" t="str">
        <f>T29&amp;" ft."&amp;IF(U29+V29+W29+X29=0,"",", ")&amp;IF(ISBLANK(U29),"","burrow "&amp;U29&amp;" ft."&amp;IF(V29+W29+X29=0,"",", "))&amp;IF(ISBLANK(V29),"","climb "&amp;V29&amp;" ft."&amp;IF(W29+X29=0,"",", "))&amp;IF(ISBLANK(W29),"","fly "&amp;W29&amp;" ft."&amp;IF(X29=0,"",", "))&amp;IF(ISBLANK(X29),"","swim "&amp;X29&amp;" ft.")</f>
        <v>30 ft., fly 60 ft., swim 30 ft.</v>
      </c>
      <c r="F29" s="3" t="str">
        <f>IF(ISBLANK(AT29),"",CHAR(13)&amp;CHAR(9)&amp;CHAR(9)&amp;"&lt;"&amp;AU29&amp;"&gt;"&amp;CHAR(13)&amp;CHAR(9)&amp;CHAR(9)&amp;CHAR(9)&amp;"&lt;name&gt;"&amp;AT29&amp;"&lt;/name&gt;"&amp;CHAR(13)&amp;CHAR(9)&amp;CHAR(9)&amp;CHAR(9)&amp;"&lt;text&gt;"&amp;AV29&amp;"&lt;/text&gt;"&amp;IF(ISBLANK(AX29),"",CHAR(13)&amp;CHAR(9)&amp;CHAR(9)&amp;CHAR(9)&amp;"&lt;attack&gt;"&amp;AX29&amp;"|"&amp;AY29&amp;"|"&amp;AZ29&amp;"&lt;/attack&gt;")&amp;CHAR(13)&amp;CHAR(9)&amp;CHAR(9)&amp;"&lt;/"&amp;AU29&amp;"&gt;")</f>
        <v>_x000D_		&lt;trait&gt;_x000D_			&lt;name&gt;Flyby&lt;/name&gt;_x000D_			&lt;text&gt;The snake doesn't provoke opportunity attacks when it flies out of an enemy's reach.&lt;/text&gt;_x000D_		&lt;/trait&gt;</v>
      </c>
      <c r="G29" s="3" t="str">
        <f>IF(ISBLANK(BA29),"",CHAR(13)&amp;CHAR(9)&amp;CHAR(9)&amp;"&lt;"&amp;BB29&amp;"&gt;"&amp;CHAR(13)&amp;CHAR(9)&amp;CHAR(9)&amp;CHAR(9)&amp;"&lt;name&gt;"&amp;BA29&amp;"&lt;/name&gt;"&amp;CHAR(13)&amp;CHAR(9)&amp;CHAR(9)&amp;CHAR(9)&amp;"&lt;text&gt;"&amp;BC29&amp;"&lt;/text&gt;"&amp;IF(ISBLANK(BE29),"",CHAR(13)&amp;CHAR(9)&amp;CHAR(9)&amp;CHAR(9)&amp;"&lt;attack&gt;"&amp;BE29&amp;"|"&amp;BF29&amp;"|"&amp;BG29&amp;"&lt;/attack&gt;")&amp;CHAR(13)&amp;CHAR(9)&amp;CHAR(9)&amp;"&lt;/"&amp;BB29&amp;"&gt;")</f>
        <v>_x000D_		&lt;action&gt;_x000D_			&lt;name&gt;Bite&lt;/name&gt;_x000D_			&lt;text&gt;Melee Weapon Attack: +6 to hit, reach 5 ft., one target. Hit: 1 piercing damage plus 7 (3d4) poison damage.&lt;/text&gt;_x000D_			&lt;attack&gt;Bite|6|1&lt;/attack&gt;_x000D_		&lt;/action&gt;</v>
      </c>
      <c r="H29" s="3" t="str">
        <f>IF(ISBLANK(BH29),"",CHAR(13)&amp;CHAR(9)&amp;CHAR(9)&amp;"&lt;"&amp;BI29&amp;"&gt;"&amp;CHAR(13)&amp;CHAR(9)&amp;CHAR(9)&amp;CHAR(9)&amp;"&lt;name&gt;"&amp;BH29&amp;"&lt;/name&gt;"&amp;CHAR(13)&amp;CHAR(9)&amp;CHAR(9)&amp;CHAR(9)&amp;"&lt;text&gt;"&amp;BJ29&amp;"&lt;/text&gt;"&amp;IF(ISBLANK(BL29),"",CHAR(13)&amp;CHAR(9)&amp;CHAR(9)&amp;CHAR(9)&amp;"&lt;attack&gt;"&amp;BL29&amp;"|"&amp;BM29&amp;"|"&amp;BN29&amp;"&lt;/attack&gt;")&amp;CHAR(13)&amp;CHAR(9)&amp;CHAR(9)&amp;"&lt;/"&amp;BI29&amp;"&gt;")</f>
        <v/>
      </c>
      <c r="I29" s="3" t="str">
        <f>IF(ISBLANK(BO29),"",CHAR(13)&amp;CHAR(9)&amp;CHAR(9)&amp;"&lt;"&amp;BP29&amp;"&gt;"&amp;CHAR(13)&amp;CHAR(9)&amp;CHAR(9)&amp;CHAR(9)&amp;"&lt;name&gt;"&amp;BO29&amp;"&lt;/name&gt;"&amp;CHAR(13)&amp;CHAR(9)&amp;CHAR(9)&amp;CHAR(9)&amp;"&lt;text&gt;"&amp;BQ29&amp;"&lt;/text&gt;"&amp;IF(ISBLANK(BS29),"",CHAR(13)&amp;CHAR(9)&amp;CHAR(9)&amp;CHAR(9)&amp;"&lt;attack&gt;"&amp;BS29&amp;"|"&amp;BT29&amp;"|"&amp;BU29&amp;"&lt;/attack&gt;")&amp;CHAR(13)&amp;CHAR(9)&amp;CHAR(9)&amp;"&lt;/"&amp;BP29&amp;"&gt;")</f>
        <v/>
      </c>
      <c r="J29" s="3" t="str">
        <f>IF(ISBLANK(BV29),"",CHAR(13)&amp;CHAR(9)&amp;CHAR(9)&amp;"&lt;"&amp;BW29&amp;"&gt;"&amp;CHAR(13)&amp;CHAR(9)&amp;CHAR(9)&amp;CHAR(9)&amp;"&lt;name&gt;"&amp;BV29&amp;"&lt;/name&gt;"&amp;CHAR(13)&amp;CHAR(9)&amp;CHAR(9)&amp;CHAR(9)&amp;"&lt;text&gt;"&amp;BX29&amp;"&lt;/text&gt;"&amp;IF(ISBLANK(BZ29),"",CHAR(13)&amp;CHAR(9)&amp;CHAR(9)&amp;CHAR(9)&amp;"&lt;attack&gt;"&amp;BZ29&amp;"|"&amp;CA29&amp;"|"&amp;CB29&amp;"&lt;/attack&gt;")&amp;CHAR(13)&amp;CHAR(9)&amp;CHAR(9)&amp;"&lt;/"&amp;BW29&amp;"&gt;")</f>
        <v/>
      </c>
      <c r="K29" s="3" t="str">
        <f>IF(ISBLANK(CC29),"",CHAR(13)&amp;CHAR(9)&amp;CHAR(9)&amp;"&lt;"&amp;CD29&amp;"&gt;"&amp;CHAR(13)&amp;CHAR(9)&amp;CHAR(9)&amp;CHAR(9)&amp;"&lt;name&gt;"&amp;CC29&amp;"&lt;/name&gt;"&amp;CHAR(13)&amp;CHAR(9)&amp;CHAR(9)&amp;CHAR(9)&amp;"&lt;text&gt;"&amp;CE29&amp;"&lt;/text&gt;"&amp;IF(ISBLANK(CG29),"",CHAR(13)&amp;CHAR(9)&amp;CHAR(9)&amp;CHAR(9)&amp;"&lt;attack&gt;"&amp;CG29&amp;"|"&amp;CH29&amp;"|"&amp;CI29&amp;"&lt;/attack&gt;")&amp;CHAR(13)&amp;CHAR(9)&amp;CHAR(9)&amp;"&lt;/"&amp;CD29&amp;"&gt;")</f>
        <v/>
      </c>
      <c r="L29" s="1" t="s">
        <v>94</v>
      </c>
      <c r="M29" s="1" t="s">
        <v>275</v>
      </c>
      <c r="N29" s="1">
        <f>DruidAlignment</f>
        <v>0</v>
      </c>
      <c r="O29" s="5" t="s">
        <v>207</v>
      </c>
      <c r="P29" s="1" t="s">
        <v>0</v>
      </c>
      <c r="Q29" s="1">
        <v>14</v>
      </c>
      <c r="R29" s="1"/>
      <c r="S29" s="1">
        <v>5</v>
      </c>
      <c r="T29" s="1">
        <v>30</v>
      </c>
      <c r="W29" s="1">
        <v>60</v>
      </c>
      <c r="X29" s="1">
        <v>30</v>
      </c>
      <c r="Y29" s="1">
        <v>4</v>
      </c>
      <c r="Z29" s="1">
        <v>18</v>
      </c>
      <c r="AA29" s="1">
        <v>11</v>
      </c>
      <c r="AB29" s="10">
        <f>DruidInt</f>
        <v>0</v>
      </c>
      <c r="AC29" s="10">
        <f>DruidWis</f>
        <v>0</v>
      </c>
      <c r="AD29" s="10">
        <f>DruidCha</f>
        <v>0</v>
      </c>
      <c r="AE29" s="12"/>
      <c r="AF29" s="12"/>
      <c r="AG29" s="12"/>
      <c r="AH29" s="12" t="s">
        <v>173</v>
      </c>
      <c r="AI29" s="12" t="str">
        <f>IF(ISBLANK(DruidAcrobatics),"",", Acrobatics +"&amp;DruidAcrobatics)&amp;IF(ISBLANK(DruidAnimalHandling),"",", Animal Handling +"&amp;DruidAnimalHandling)&amp;IF(ISBLANK(DruidArcana),"",", Arcana +"&amp;DruidArcana)&amp;IF(DruidAthletics+AE29=0,"",", Athletics +"&amp;MAX(DruidAthletics,AE29))&amp;IF(ISBLANK(DruidDeception),"",",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+"&amp;DruidNature)&amp;IF(DruidPerception+AF29=0,"",", Perception +"&amp;MAX(DruidPerception,AF29))&amp;IF(ISBLANK(DruidPerformance),"",", Performance +"&amp;DruidPerformance)&amp;IF(ISBLANK(DruidPersuasion),"",", Persuasion +"&amp;DruidPersuasion)&amp;IF(ISBLANK(DruidReligion),"",", Religion +"&amp;DruidReligion)&amp;IF(ISBLANK(DruidSleightofHand),"",", Sleight of Hand +"&amp;DruidSleightofHand)&amp;IF(DruidStealth+AG29=0,"",", Stealth +"&amp;MAX(DruidStealth,AG29))&amp;IF(ISBLANK(DruidSurvival),"",", Survival +"&amp;DruidSurvival)</f>
        <v/>
      </c>
      <c r="AJ29" s="1" t="e">
        <f>RIGHT(AI29,LEN(AI29)-2)</f>
        <v>#VALUE!</v>
      </c>
      <c r="AK2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29" s="1" t="s">
        <v>173</v>
      </c>
      <c r="AM29" s="1" t="s">
        <v>180</v>
      </c>
      <c r="AN29" s="3">
        <f>IF(DruidPerception+AF29=0,10+(ROUNDDOWN((AC29-10)/2,0)),10+MAX(DruidPerception,AF29))</f>
        <v>5</v>
      </c>
      <c r="AO29" s="1"/>
      <c r="AP29" s="1"/>
      <c r="AQ29" s="1"/>
      <c r="AR29" s="1"/>
      <c r="AS29" s="1"/>
      <c r="AT29" s="3" t="s">
        <v>95</v>
      </c>
      <c r="AU29" s="3" t="s">
        <v>148</v>
      </c>
      <c r="AV29" s="3" t="s">
        <v>494</v>
      </c>
      <c r="AW29" s="3" t="s">
        <v>173</v>
      </c>
      <c r="AZ29" s="3"/>
      <c r="BA29" s="3" t="s">
        <v>161</v>
      </c>
      <c r="BB29" s="3" t="s">
        <v>150</v>
      </c>
      <c r="BC29" s="3" t="s">
        <v>258</v>
      </c>
      <c r="BD29" s="3" t="s">
        <v>173</v>
      </c>
      <c r="BE29" s="3" t="s">
        <v>161</v>
      </c>
      <c r="BF29" s="3">
        <v>6</v>
      </c>
      <c r="BG29" s="3">
        <v>1</v>
      </c>
      <c r="BK29" s="3" t="s">
        <v>173</v>
      </c>
      <c r="BN29" s="3"/>
      <c r="BR29" s="3" t="s">
        <v>173</v>
      </c>
      <c r="BY29" s="3" t="s">
        <v>173</v>
      </c>
      <c r="CJ29" s="6">
        <v>0.125</v>
      </c>
      <c r="CK29" s="6">
        <f>IF(CJ29&lt;0.26,2,IF(CJ29&lt;0.51,4,IF(CJ29&lt;1.1,8,99)))</f>
        <v>2</v>
      </c>
      <c r="CL29" s="3">
        <f>IF(M29="Elemental",10,IF(CJ29&lt;2,2,CJ29*3))</f>
        <v>2</v>
      </c>
      <c r="CM29" s="3">
        <f>IF(W29&gt;0,8,0)</f>
        <v>8</v>
      </c>
      <c r="CN29" s="3">
        <f>IF(X29&gt;0,4,0)</f>
        <v>4</v>
      </c>
    </row>
    <row r="30" spans="1:92">
      <c r="A30" s="3" t="str">
        <f>IF(DruidLevel&lt;B30,"",CHAR(9)&amp;"&lt;monster&gt;"&amp;CHAR(13)&amp;CHAR(9)&amp;CHAR(9)&amp;"&lt;name&gt;"&amp;L30&amp;" (Wild Shape)&lt;/name&gt;"&amp;CHAR(13)&amp;CHAR(9)&amp;CHAR(9)&amp;"&lt;size&gt;"&amp;LEFT(P30,1)&amp;"&lt;/size&gt;"&amp;CHAR(13)&amp;CHAR(9)&amp;CHAR(9)&amp;"&lt;type&gt;"&amp;M30&amp;"&lt;/type&gt;"&amp;CHAR(13)&amp;CHAR(9)&amp;CHAR(9)&amp;"&lt;alignment&gt;"&amp;N30&amp;"&lt;/alignment&gt;"&amp;CHAR(13)&amp;CHAR(9)&amp;CHAR(9)&amp;"&lt;ac&gt;"&amp;Q30&amp;IF(ISBLANK(R30),""," ("&amp;R30&amp;")")&amp;"&lt;/ac&gt;"&amp;CHAR(13)&amp;CHAR(9)&amp;CHAR(9)&amp;"&lt;hp&gt;"&amp;S30&amp;"&lt;/hp&gt;"&amp;CHAR(13)&amp;CHAR(9)&amp;CHAR(9)&amp;"&lt;speed&gt;"&amp;E30&amp;"&lt;/speed&gt;"&amp;CHAR(13)&amp;CHAR(9)&amp;CHAR(9)&amp;"&lt;str&gt;"&amp;Y30&amp;"&lt;/str&gt;&lt;dex&gt;"&amp;Z30&amp;"&lt;/dex&gt;&lt;con&gt;"&amp;AA30&amp;"&lt;/con&gt;&lt;int&gt;"&amp;AB30&amp;"&lt;/int&gt;&lt;wis&gt;"&amp;AC30&amp;"&lt;/wis&gt;&lt;cha&gt;"&amp;AD30&amp;"&lt;/cha&gt;"&amp;CHAR(13)&amp;CHAR(9)&amp;CHAR(9)&amp;"&lt;save&gt;"&amp;AK30&amp;"&lt;/save&gt;"&amp;CHAR(13)&amp;CHAR(9)&amp;CHAR(9)&amp;"&lt;skill&gt;"&amp;AJ30&amp;"&lt;/skill&gt;"&amp;CHAR(13)&amp;CHAR(9)&amp;CHAR(9)&amp;"&lt;vulnerable&gt;"&amp;AO30&amp;"&lt;/vulnerable&gt;"&amp;CHAR(13)&amp;CHAR(9)&amp;CHAR(9)&amp;"&lt;resist&gt;"&amp;AP30&amp;"&lt;/resist&gt;"&amp;CHAR(13)&amp;CHAR(9)&amp;CHAR(9)&amp;"&lt;immune&gt;"&amp;AQ30&amp;"&lt;/immune&gt;"&amp;CHAR(13)&amp;CHAR(9)&amp;CHAR(9)&amp;"&lt;conditionImmune&gt;"&amp;AR30&amp;"&lt;/conditionImmune&gt;"&amp;CHAR(13)&amp;CHAR(9)&amp;CHAR(9)&amp;"&lt;senses&gt;"&amp;AM30&amp;"&lt;/senses&gt;"&amp;CHAR(13)&amp;CHAR(9)&amp;CHAR(9)&amp;"&lt;passive&gt;"&amp;AN30&amp;"&lt;/passive&gt;"&amp;CHAR(13)&amp;CHAR(9)&amp;CHAR(9)&amp;"&lt;languages&gt;"&amp;AS30&amp;"&lt;/languages&gt;"&amp;CHAR(13)&amp;CHAR(9)&amp;CHAR(9)&amp;"&lt;cr&gt;"&amp;O30&amp;"&lt;/cr&gt;"&amp;F30&amp;G30&amp;H30&amp;I30&amp;J30&amp;K30&amp;IF(C30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0" s="3">
        <f>IF(COTM=TRUE,MAX(CL30,CM30,CN30),MAX(CK30,CM30,CN30))</f>
        <v>4</v>
      </c>
      <c r="C30" s="11" t="str">
        <f>IF(COTM=FALSE,"",IF(DruidLevel&gt;5,"Y",""))</f>
        <v/>
      </c>
      <c r="D30" s="3" t="s">
        <v>173</v>
      </c>
      <c r="E30" s="3" t="str">
        <f>T30&amp;" ft."&amp;IF(U30+V30+W30+X30=0,"",", ")&amp;IF(ISBLANK(U30),"","burrow "&amp;U30&amp;" ft."&amp;IF(V30+W30+X30=0,"",", "))&amp;IF(ISBLANK(V30),"","climb "&amp;V30&amp;" ft."&amp;IF(W30+X30=0,"",", "))&amp;IF(ISBLANK(W30),"","fly "&amp;W30&amp;" ft."&amp;IF(X30=0,"",", "))&amp;IF(ISBLANK(X30),"","swim "&amp;X30&amp;" ft.")</f>
        <v>20 ft., swim 20 ft.</v>
      </c>
      <c r="F30" s="3" t="str">
        <f>IF(ISBLANK(AT30),"",CHAR(13)&amp;CHAR(9)&amp;CHAR(9)&amp;"&lt;"&amp;AU30&amp;"&gt;"&amp;CHAR(13)&amp;CHAR(9)&amp;CHAR(9)&amp;CHAR(9)&amp;"&lt;name&gt;"&amp;AT30&amp;"&lt;/name&gt;"&amp;CHAR(13)&amp;CHAR(9)&amp;CHAR(9)&amp;CHAR(9)&amp;"&lt;text&gt;"&amp;AV30&amp;"&lt;/text&gt;"&amp;IF(ISBLANK(AX30),"",CHAR(13)&amp;CHAR(9)&amp;CHAR(9)&amp;CHAR(9)&amp;"&lt;attack&gt;"&amp;AX30&amp;"|"&amp;AY30&amp;"|"&amp;AZ30&amp;"&lt;/attack&gt;")&amp;CHAR(13)&amp;CHAR(9)&amp;CHAR(9)&amp;"&lt;/"&amp;AU30&amp;"&gt;")</f>
        <v>_x000D_		&lt;trait&gt;_x000D_			&lt;name&gt;Amphibious&lt;/name&gt;_x000D_			&lt;text&gt;The frog can breathe air and water&lt;/text&gt;_x000D_		&lt;/trait&gt;</v>
      </c>
      <c r="G30" s="3" t="str">
        <f>IF(ISBLANK(BA30),"",CHAR(13)&amp;CHAR(9)&amp;CHAR(9)&amp;"&lt;"&amp;BB30&amp;"&gt;"&amp;CHAR(13)&amp;CHAR(9)&amp;CHAR(9)&amp;CHAR(9)&amp;"&lt;name&gt;"&amp;BA30&amp;"&lt;/name&gt;"&amp;CHAR(13)&amp;CHAR(9)&amp;CHAR(9)&amp;CHAR(9)&amp;"&lt;text&gt;"&amp;BC30&amp;"&lt;/text&gt;"&amp;IF(ISBLANK(BE30),"",CHAR(13)&amp;CHAR(9)&amp;CHAR(9)&amp;CHAR(9)&amp;"&lt;attack&gt;"&amp;BE30&amp;"|"&amp;BF30&amp;"|"&amp;BG30&amp;"&lt;/attack&gt;")&amp;CHAR(13)&amp;CHAR(9)&amp;CHAR(9)&amp;"&lt;/"&amp;BB30&amp;"&gt;")</f>
        <v>_x000D_		&lt;trait&gt;_x000D_			&lt;name&gt;Standing Leap&lt;/name&gt;_x000D_			&lt;text&gt;The frog's long jump is up to 10 feet and its high jump is up to 5 feet, with or without a running start.&lt;/text&gt;_x000D_		&lt;/trait&gt;</v>
      </c>
      <c r="H30" s="3" t="str">
        <f>IF(ISBLANK(BH30),"",CHAR(13)&amp;CHAR(9)&amp;CHAR(9)&amp;"&lt;"&amp;BI30&amp;"&gt;"&amp;CHAR(13)&amp;CHAR(9)&amp;CHAR(9)&amp;CHAR(9)&amp;"&lt;name&gt;"&amp;BH30&amp;"&lt;/name&gt;"&amp;CHAR(13)&amp;CHAR(9)&amp;CHAR(9)&amp;CHAR(9)&amp;"&lt;text&gt;"&amp;BJ30&amp;"&lt;/text&gt;"&amp;IF(ISBLANK(BL30),"",CHAR(13)&amp;CHAR(9)&amp;CHAR(9)&amp;CHAR(9)&amp;"&lt;attack&gt;"&amp;BL30&amp;"|"&amp;BM30&amp;"|"&amp;BN30&amp;"&lt;/attack&gt;")&amp;CHAR(13)&amp;CHAR(9)&amp;CHAR(9)&amp;"&lt;/"&amp;BI30&amp;"&gt;")</f>
        <v/>
      </c>
      <c r="I30" s="3" t="str">
        <f>IF(ISBLANK(BO30),"",CHAR(13)&amp;CHAR(9)&amp;CHAR(9)&amp;"&lt;"&amp;BP30&amp;"&gt;"&amp;CHAR(13)&amp;CHAR(9)&amp;CHAR(9)&amp;CHAR(9)&amp;"&lt;name&gt;"&amp;BO30&amp;"&lt;/name&gt;"&amp;CHAR(13)&amp;CHAR(9)&amp;CHAR(9)&amp;CHAR(9)&amp;"&lt;text&gt;"&amp;BQ30&amp;"&lt;/text&gt;"&amp;IF(ISBLANK(BS30),"",CHAR(13)&amp;CHAR(9)&amp;CHAR(9)&amp;CHAR(9)&amp;"&lt;attack&gt;"&amp;BS30&amp;"|"&amp;BT30&amp;"|"&amp;BU30&amp;"&lt;/attack&gt;")&amp;CHAR(13)&amp;CHAR(9)&amp;CHAR(9)&amp;"&lt;/"&amp;BP30&amp;"&gt;")</f>
        <v/>
      </c>
      <c r="J30" s="3" t="str">
        <f>IF(ISBLANK(BV30),"",CHAR(13)&amp;CHAR(9)&amp;CHAR(9)&amp;"&lt;"&amp;BW30&amp;"&gt;"&amp;CHAR(13)&amp;CHAR(9)&amp;CHAR(9)&amp;CHAR(9)&amp;"&lt;name&gt;"&amp;BV30&amp;"&lt;/name&gt;"&amp;CHAR(13)&amp;CHAR(9)&amp;CHAR(9)&amp;CHAR(9)&amp;"&lt;text&gt;"&amp;BX30&amp;"&lt;/text&gt;"&amp;IF(ISBLANK(BZ30),"",CHAR(13)&amp;CHAR(9)&amp;CHAR(9)&amp;CHAR(9)&amp;"&lt;attack&gt;"&amp;BZ30&amp;"|"&amp;CA30&amp;"|"&amp;CB30&amp;"&lt;/attack&gt;")&amp;CHAR(13)&amp;CHAR(9)&amp;CHAR(9)&amp;"&lt;/"&amp;BW30&amp;"&gt;")</f>
        <v/>
      </c>
      <c r="K30" s="3" t="str">
        <f>IF(ISBLANK(CC30),"",CHAR(13)&amp;CHAR(9)&amp;CHAR(9)&amp;"&lt;"&amp;CD30&amp;"&gt;"&amp;CHAR(13)&amp;CHAR(9)&amp;CHAR(9)&amp;CHAR(9)&amp;"&lt;name&gt;"&amp;CC30&amp;"&lt;/name&gt;"&amp;CHAR(13)&amp;CHAR(9)&amp;CHAR(9)&amp;CHAR(9)&amp;"&lt;text&gt;"&amp;CE30&amp;"&lt;/text&gt;"&amp;IF(ISBLANK(CG30),"",CHAR(13)&amp;CHAR(9)&amp;CHAR(9)&amp;CHAR(9)&amp;"&lt;attack&gt;"&amp;CG30&amp;"|"&amp;CH30&amp;"|"&amp;CI30&amp;"&lt;/attack&gt;")&amp;CHAR(13)&amp;CHAR(9)&amp;CHAR(9)&amp;"&lt;/"&amp;CD30&amp;"&gt;")</f>
        <v/>
      </c>
      <c r="L30" s="1" t="s">
        <v>60</v>
      </c>
      <c r="M30" s="1" t="s">
        <v>275</v>
      </c>
      <c r="N30" s="1">
        <f>DruidAlignment</f>
        <v>0</v>
      </c>
      <c r="O30" s="2">
        <v>0</v>
      </c>
      <c r="P30" s="1" t="s">
        <v>0</v>
      </c>
      <c r="Q30" s="1">
        <v>11</v>
      </c>
      <c r="R30" s="1"/>
      <c r="S30" s="1">
        <v>1</v>
      </c>
      <c r="T30" s="1">
        <v>20</v>
      </c>
      <c r="X30" s="1">
        <v>20</v>
      </c>
      <c r="Y30" s="1">
        <v>1</v>
      </c>
      <c r="Z30" s="1">
        <v>13</v>
      </c>
      <c r="AA30" s="1">
        <v>8</v>
      </c>
      <c r="AB30" s="10">
        <f>DruidInt</f>
        <v>0</v>
      </c>
      <c r="AC30" s="10">
        <f>DruidWis</f>
        <v>0</v>
      </c>
      <c r="AD30" s="10">
        <f>DruidCha</f>
        <v>0</v>
      </c>
      <c r="AE30" s="12"/>
      <c r="AF30" s="12"/>
      <c r="AG30" s="12">
        <v>3</v>
      </c>
      <c r="AH30" s="12" t="s">
        <v>173</v>
      </c>
      <c r="AI30" s="12" t="str">
        <f>IF(ISBLANK(DruidAcrobatics),"",", Acrobatics +"&amp;DruidAcrobatics)&amp;IF(ISBLANK(DruidAnimalHandling),"",", Animal Handling +"&amp;DruidAnimalHandling)&amp;IF(ISBLANK(DruidArcana),"",", Arcana +"&amp;DruidArcana)&amp;IF(DruidAthletics+AE30=0,"",", Athletics +"&amp;MAX(DruidAthletics,AE30))&amp;IF(ISBLANK(DruidDeception),"",",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+"&amp;DruidNature)&amp;IF(DruidPerception+AF30=0,"",", Perception +"&amp;MAX(DruidPerception,AF30))&amp;IF(ISBLANK(DruidPerformance),"",", Performance +"&amp;DruidPerformance)&amp;IF(ISBLANK(DruidPersuasion),"",", Persuasion +"&amp;DruidPersuasion)&amp;IF(ISBLANK(DruidReligion),"",", Religion +"&amp;DruidReligion)&amp;IF(ISBLANK(DruidSleightofHand),"",", Sleight of Hand +"&amp;DruidSleightofHand)&amp;IF(DruidStealth+AG30=0,"",", Stealth +"&amp;MAX(DruidStealth,AG30))&amp;IF(ISBLANK(DruidSurvival),"",", Survival +"&amp;DruidSurvival)</f>
        <v>, Stealth +3</v>
      </c>
      <c r="AJ30" s="1" t="str">
        <f>RIGHT(AI30,LEN(AI30)-2)</f>
        <v>Stealth +3</v>
      </c>
      <c r="AK3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0" s="1" t="s">
        <v>173</v>
      </c>
      <c r="AM30" s="1" t="s">
        <v>178</v>
      </c>
      <c r="AN30" s="3">
        <f>IF(DruidPerception+AF30=0,10+(ROUNDDOWN((AC30-10)/2,0)),10+MAX(DruidPerception,AF30))</f>
        <v>5</v>
      </c>
      <c r="AO30" s="1"/>
      <c r="AP30" s="1"/>
      <c r="AQ30" s="1"/>
      <c r="AR30" s="1"/>
      <c r="AS30" s="1"/>
      <c r="AT30" s="3" t="s">
        <v>59</v>
      </c>
      <c r="AU30" s="3" t="s">
        <v>148</v>
      </c>
      <c r="AV30" s="3" t="s">
        <v>259</v>
      </c>
      <c r="AW30" s="3" t="s">
        <v>173</v>
      </c>
      <c r="AZ30" s="3"/>
      <c r="BA30" s="3" t="s">
        <v>273</v>
      </c>
      <c r="BB30" s="3" t="s">
        <v>148</v>
      </c>
      <c r="BC30" s="3" t="s">
        <v>482</v>
      </c>
      <c r="BD30" s="3" t="s">
        <v>173</v>
      </c>
      <c r="BG30" s="3"/>
      <c r="BK30" s="3" t="s">
        <v>173</v>
      </c>
      <c r="BN30" s="3"/>
      <c r="BR30" s="3" t="s">
        <v>173</v>
      </c>
      <c r="BY30" s="3" t="s">
        <v>173</v>
      </c>
      <c r="CJ30" s="6">
        <v>0</v>
      </c>
      <c r="CK30" s="6">
        <f>IF(CJ30&lt;0.26,2,IF(CJ30&lt;0.51,4,IF(CJ30&lt;1.1,8,99)))</f>
        <v>2</v>
      </c>
      <c r="CL30" s="3">
        <f>IF(M30="Elemental",10,IF(CJ30&lt;2,2,CJ30*3))</f>
        <v>2</v>
      </c>
      <c r="CM30" s="3">
        <f>IF(W30&gt;0,8,0)</f>
        <v>0</v>
      </c>
      <c r="CN30" s="3">
        <f>IF(X30&gt;0,4,0)</f>
        <v>4</v>
      </c>
    </row>
    <row r="31" spans="1:92">
      <c r="A31" s="3" t="str">
        <f>IF(DruidLevel&lt;B31,"",CHAR(9)&amp;"&lt;monster&gt;"&amp;CHAR(13)&amp;CHAR(9)&amp;CHAR(9)&amp;"&lt;name&gt;"&amp;L31&amp;" (Wild Shape)&lt;/name&gt;"&amp;CHAR(13)&amp;CHAR(9)&amp;CHAR(9)&amp;"&lt;size&gt;"&amp;LEFT(P31,1)&amp;"&lt;/size&gt;"&amp;CHAR(13)&amp;CHAR(9)&amp;CHAR(9)&amp;"&lt;type&gt;"&amp;M31&amp;"&lt;/type&gt;"&amp;CHAR(13)&amp;CHAR(9)&amp;CHAR(9)&amp;"&lt;alignment&gt;"&amp;N31&amp;"&lt;/alignment&gt;"&amp;CHAR(13)&amp;CHAR(9)&amp;CHAR(9)&amp;"&lt;ac&gt;"&amp;Q31&amp;IF(ISBLANK(R31),""," ("&amp;R31&amp;")")&amp;"&lt;/ac&gt;"&amp;CHAR(13)&amp;CHAR(9)&amp;CHAR(9)&amp;"&lt;hp&gt;"&amp;S31&amp;"&lt;/hp&gt;"&amp;CHAR(13)&amp;CHAR(9)&amp;CHAR(9)&amp;"&lt;speed&gt;"&amp;E31&amp;"&lt;/speed&gt;"&amp;CHAR(13)&amp;CHAR(9)&amp;CHAR(9)&amp;"&lt;str&gt;"&amp;Y31&amp;"&lt;/str&gt;&lt;dex&gt;"&amp;Z31&amp;"&lt;/dex&gt;&lt;con&gt;"&amp;AA31&amp;"&lt;/con&gt;&lt;int&gt;"&amp;AB31&amp;"&lt;/int&gt;&lt;wis&gt;"&amp;AC31&amp;"&lt;/wis&gt;&lt;cha&gt;"&amp;AD31&amp;"&lt;/cha&gt;"&amp;CHAR(13)&amp;CHAR(9)&amp;CHAR(9)&amp;"&lt;save&gt;"&amp;AK31&amp;"&lt;/save&gt;"&amp;CHAR(13)&amp;CHAR(9)&amp;CHAR(9)&amp;"&lt;skill&gt;"&amp;AJ31&amp;"&lt;/skill&gt;"&amp;CHAR(13)&amp;CHAR(9)&amp;CHAR(9)&amp;"&lt;vulnerable&gt;"&amp;AO31&amp;"&lt;/vulnerable&gt;"&amp;CHAR(13)&amp;CHAR(9)&amp;CHAR(9)&amp;"&lt;resist&gt;"&amp;AP31&amp;"&lt;/resist&gt;"&amp;CHAR(13)&amp;CHAR(9)&amp;CHAR(9)&amp;"&lt;immune&gt;"&amp;AQ31&amp;"&lt;/immune&gt;"&amp;CHAR(13)&amp;CHAR(9)&amp;CHAR(9)&amp;"&lt;conditionImmune&gt;"&amp;AR31&amp;"&lt;/conditionImmune&gt;"&amp;CHAR(13)&amp;CHAR(9)&amp;CHAR(9)&amp;"&lt;senses&gt;"&amp;AM31&amp;"&lt;/senses&gt;"&amp;CHAR(13)&amp;CHAR(9)&amp;CHAR(9)&amp;"&lt;passive&gt;"&amp;AN31&amp;"&lt;/passive&gt;"&amp;CHAR(13)&amp;CHAR(9)&amp;CHAR(9)&amp;"&lt;languages&gt;"&amp;AS31&amp;"&lt;/languages&gt;"&amp;CHAR(13)&amp;CHAR(9)&amp;CHAR(9)&amp;"&lt;cr&gt;"&amp;O31&amp;"&lt;/cr&gt;"&amp;F31&amp;G31&amp;H31&amp;I31&amp;J31&amp;K31&amp;IF(C31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1" s="3">
        <f>IF(COTM=TRUE,MAX(CL31,CM31,CN31),MAX(CK31,CM31,CN31))</f>
        <v>2</v>
      </c>
      <c r="C31" s="11" t="str">
        <f>IF(COTM=FALSE,"",IF(DruidLevel&gt;5,"Y",""))</f>
        <v/>
      </c>
      <c r="D31" s="3" t="s">
        <v>173</v>
      </c>
      <c r="E31" s="3" t="str">
        <f>T31&amp;" ft."&amp;IF(U31+V31+W31+X31=0,"",", ")&amp;IF(ISBLANK(U31),"","burrow "&amp;U31&amp;" ft."&amp;IF(V31+W31+X31=0,"",", "))&amp;IF(ISBLANK(V31),"","climb "&amp;V31&amp;" ft."&amp;IF(W31+X31=0,"",", "))&amp;IF(ISBLANK(W31),"","fly "&amp;W31&amp;" ft."&amp;IF(X31=0,"",", "))&amp;IF(ISBLANK(X31),"","swim "&amp;X31&amp;" ft.")</f>
        <v>30 ft., burrow 10 ft.</v>
      </c>
      <c r="F31" s="3" t="str">
        <f>IF(ISBLANK(AT31),"",CHAR(13)&amp;CHAR(9)&amp;CHAR(9)&amp;"&lt;"&amp;AU31&amp;"&gt;"&amp;CHAR(13)&amp;CHAR(9)&amp;CHAR(9)&amp;CHAR(9)&amp;"&lt;name&gt;"&amp;AT31&amp;"&lt;/name&gt;"&amp;CHAR(13)&amp;CHAR(9)&amp;CHAR(9)&amp;CHAR(9)&amp;"&lt;text&gt;"&amp;AV31&amp;"&lt;/text&gt;"&amp;IF(ISBLANK(AX31),"",CHAR(13)&amp;CHAR(9)&amp;CHAR(9)&amp;CHAR(9)&amp;"&lt;attack&gt;"&amp;AX31&amp;"|"&amp;AY31&amp;"|"&amp;AZ31&amp;"&lt;/attack&gt;")&amp;CHAR(13)&amp;CHAR(9)&amp;CHAR(9)&amp;"&lt;/"&amp;AU31&amp;"&gt;")</f>
        <v>_x000D_		&lt;trait&gt;_x000D_			&lt;name&gt;Keen Smell&lt;/name&gt;_x000D_			&lt;text&gt;The badger has advantage on Wisdom (Perception) checks that rely on smell.&lt;/text&gt;_x000D_		&lt;/trait&gt;</v>
      </c>
      <c r="G31" s="3" t="str">
        <f>IF(ISBLANK(BA31),"",CHAR(13)&amp;CHAR(9)&amp;CHAR(9)&amp;"&lt;"&amp;BB31&amp;"&gt;"&amp;CHAR(13)&amp;CHAR(9)&amp;CHAR(9)&amp;CHAR(9)&amp;"&lt;name&gt;"&amp;BA31&amp;"&lt;/name&gt;"&amp;CHAR(13)&amp;CHAR(9)&amp;CHAR(9)&amp;CHAR(9)&amp;"&lt;text&gt;"&amp;BC31&amp;"&lt;/text&gt;"&amp;IF(ISBLANK(BE31),"",CHAR(13)&amp;CHAR(9)&amp;CHAR(9)&amp;CHAR(9)&amp;"&lt;attack&gt;"&amp;BE31&amp;"|"&amp;BF31&amp;"|"&amp;BG31&amp;"&lt;/attack&gt;")&amp;CHAR(13)&amp;CHAR(9)&amp;CHAR(9)&amp;"&lt;/"&amp;BB31&amp;"&gt;")</f>
        <v>_x000D_		&lt;action&gt;_x000D_			&lt;name&gt;Multiattack&lt;/name&gt;_x000D_			&lt;text&gt;The badger makes two attacks: one with its bite and one with its claws.&lt;/text&gt;_x000D_		&lt;/action&gt;</v>
      </c>
      <c r="H31" s="3" t="str">
        <f>IF(ISBLANK(BH31),"",CHAR(13)&amp;CHAR(9)&amp;CHAR(9)&amp;"&lt;"&amp;BI31&amp;"&gt;"&amp;CHAR(13)&amp;CHAR(9)&amp;CHAR(9)&amp;CHAR(9)&amp;"&lt;name&gt;"&amp;BH31&amp;"&lt;/name&gt;"&amp;CHAR(13)&amp;CHAR(9)&amp;CHAR(9)&amp;CHAR(9)&amp;"&lt;text&gt;"&amp;BJ31&amp;"&lt;/text&gt;"&amp;IF(ISBLANK(BL31),"",CHAR(13)&amp;CHAR(9)&amp;CHAR(9)&amp;CHAR(9)&amp;"&lt;attack&gt;"&amp;BL31&amp;"|"&amp;BM31&amp;"|"&amp;BN31&amp;"&lt;/attack&gt;")&amp;CHAR(13)&amp;CHAR(9)&amp;CHAR(9)&amp;"&lt;/"&amp;BI31&amp;"&gt;")</f>
        <v>_x000D_		&lt;action&gt;_x000D_			&lt;name&gt;Bite&lt;/name&gt;_x000D_			&lt;text&gt;Melee Weapon Attack: +3 to hit, reach 5 ft., one target. Hit: 4 (1d6+1) piercing damage.&lt;/text&gt;_x000D_			&lt;attack&gt;Bite|3|1d6+1&lt;/attack&gt;_x000D_		&lt;/action&gt;</v>
      </c>
      <c r="I31" s="3" t="str">
        <f>IF(ISBLANK(BO31),"",CHAR(13)&amp;CHAR(9)&amp;CHAR(9)&amp;"&lt;"&amp;BP31&amp;"&gt;"&amp;CHAR(13)&amp;CHAR(9)&amp;CHAR(9)&amp;CHAR(9)&amp;"&lt;name&gt;"&amp;BO31&amp;"&lt;/name&gt;"&amp;CHAR(13)&amp;CHAR(9)&amp;CHAR(9)&amp;CHAR(9)&amp;"&lt;text&gt;"&amp;BQ31&amp;"&lt;/text&gt;"&amp;IF(ISBLANK(BS31),"",CHAR(13)&amp;CHAR(9)&amp;CHAR(9)&amp;CHAR(9)&amp;"&lt;attack&gt;"&amp;BS31&amp;"|"&amp;BT31&amp;"|"&amp;BU31&amp;"&lt;/attack&gt;")&amp;CHAR(13)&amp;CHAR(9)&amp;CHAR(9)&amp;"&lt;/"&amp;BP31&amp;"&gt;")</f>
        <v>_x000D_		&lt;action&gt;_x000D_			&lt;name&gt;Claws&lt;/name&gt;_x000D_			&lt;text&gt;Melee Weapon Attack: +3 to hit, reach 5 ft., one target. Hit: 6 (2d4+1) slashing damage.&lt;/text&gt;_x000D_			&lt;attack&gt;Claws|3|2d4+1&lt;/attack&gt;_x000D_		&lt;/action&gt;</v>
      </c>
      <c r="J31" s="3" t="str">
        <f>IF(ISBLANK(BV31),"",CHAR(13)&amp;CHAR(9)&amp;CHAR(9)&amp;"&lt;"&amp;BW31&amp;"&gt;"&amp;CHAR(13)&amp;CHAR(9)&amp;CHAR(9)&amp;CHAR(9)&amp;"&lt;name&gt;"&amp;BV31&amp;"&lt;/name&gt;"&amp;CHAR(13)&amp;CHAR(9)&amp;CHAR(9)&amp;CHAR(9)&amp;"&lt;text&gt;"&amp;BX31&amp;"&lt;/text&gt;"&amp;IF(ISBLANK(BZ31),"",CHAR(13)&amp;CHAR(9)&amp;CHAR(9)&amp;CHAR(9)&amp;"&lt;attack&gt;"&amp;BZ31&amp;"|"&amp;CA31&amp;"|"&amp;CB31&amp;"&lt;/attack&gt;")&amp;CHAR(13)&amp;CHAR(9)&amp;CHAR(9)&amp;"&lt;/"&amp;BW31&amp;"&gt;")</f>
        <v/>
      </c>
      <c r="K31" s="3" t="str">
        <f>IF(ISBLANK(CC31),"",CHAR(13)&amp;CHAR(9)&amp;CHAR(9)&amp;"&lt;"&amp;CD31&amp;"&gt;"&amp;CHAR(13)&amp;CHAR(9)&amp;CHAR(9)&amp;CHAR(9)&amp;"&lt;name&gt;"&amp;CC31&amp;"&lt;/name&gt;"&amp;CHAR(13)&amp;CHAR(9)&amp;CHAR(9)&amp;CHAR(9)&amp;"&lt;text&gt;"&amp;CE31&amp;"&lt;/text&gt;"&amp;IF(ISBLANK(CG31),"",CHAR(13)&amp;CHAR(9)&amp;CHAR(9)&amp;CHAR(9)&amp;"&lt;attack&gt;"&amp;CG31&amp;"|"&amp;CH31&amp;"|"&amp;CI31&amp;"&lt;/attack&gt;")&amp;CHAR(13)&amp;CHAR(9)&amp;CHAR(9)&amp;"&lt;/"&amp;CD31&amp;"&gt;")</f>
        <v/>
      </c>
      <c r="L31" s="1" t="s">
        <v>39</v>
      </c>
      <c r="M31" s="1" t="s">
        <v>275</v>
      </c>
      <c r="N31" s="1">
        <f>DruidAlignment</f>
        <v>0</v>
      </c>
      <c r="O31" s="2" t="s">
        <v>208</v>
      </c>
      <c r="P31" s="1" t="s">
        <v>17</v>
      </c>
      <c r="Q31" s="1">
        <v>10</v>
      </c>
      <c r="R31" s="1"/>
      <c r="S31" s="1">
        <v>13</v>
      </c>
      <c r="T31" s="1">
        <v>30</v>
      </c>
      <c r="U31" s="1">
        <v>10</v>
      </c>
      <c r="Y31" s="1">
        <v>13</v>
      </c>
      <c r="Z31" s="1">
        <v>10</v>
      </c>
      <c r="AA31" s="1">
        <v>15</v>
      </c>
      <c r="AB31" s="10">
        <f>DruidInt</f>
        <v>0</v>
      </c>
      <c r="AC31" s="10">
        <f>DruidWis</f>
        <v>0</v>
      </c>
      <c r="AD31" s="10">
        <f>DruidCha</f>
        <v>0</v>
      </c>
      <c r="AE31" s="12"/>
      <c r="AF31" s="12"/>
      <c r="AG31" s="12"/>
      <c r="AH31" s="12" t="s">
        <v>173</v>
      </c>
      <c r="AI31" s="12" t="str">
        <f>IF(ISBLANK(DruidAcrobatics),"",", Acrobatics +"&amp;DruidAcrobatics)&amp;IF(ISBLANK(DruidAnimalHandling),"",", Animal Handling +"&amp;DruidAnimalHandling)&amp;IF(ISBLANK(DruidArcana),"",", Arcana +"&amp;DruidArcana)&amp;IF(DruidAthletics+AE31=0,"",", Athletics +"&amp;MAX(DruidAthletics,AE31))&amp;IF(ISBLANK(DruidDeception),"",",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+"&amp;DruidNature)&amp;IF(DruidPerception+AF31=0,"",", Perception +"&amp;MAX(DruidPerception,AF31))&amp;IF(ISBLANK(DruidPerformance),"",", Performance +"&amp;DruidPerformance)&amp;IF(ISBLANK(DruidPersuasion),"",", Persuasion +"&amp;DruidPersuasion)&amp;IF(ISBLANK(DruidReligion),"",", Religion +"&amp;DruidReligion)&amp;IF(ISBLANK(DruidSleightofHand),"",", Sleight of Hand +"&amp;DruidSleightofHand)&amp;IF(DruidStealth+AG31=0,"",", Stealth +"&amp;MAX(DruidStealth,AG31))&amp;IF(ISBLANK(DruidSurvival),"",", Survival +"&amp;DruidSurvival)</f>
        <v/>
      </c>
      <c r="AJ31" s="1" t="e">
        <f>RIGHT(AI31,LEN(AI31)-2)</f>
        <v>#VALUE!</v>
      </c>
      <c r="AK3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1" s="1" t="s">
        <v>173</v>
      </c>
      <c r="AM31" s="1" t="s">
        <v>178</v>
      </c>
      <c r="AN31" s="3">
        <f>IF(DruidPerception+AF31=0,10+(ROUNDDOWN((AC31-10)/2,0)),10+MAX(DruidPerception,AF31))</f>
        <v>5</v>
      </c>
      <c r="AO31" s="1"/>
      <c r="AP31" s="1"/>
      <c r="AQ31" s="1"/>
      <c r="AR31" s="1"/>
      <c r="AS31" s="1"/>
      <c r="AT31" s="3" t="s">
        <v>14</v>
      </c>
      <c r="AU31" s="3" t="s">
        <v>148</v>
      </c>
      <c r="AV31" s="3" t="s">
        <v>211</v>
      </c>
      <c r="AW31" s="3" t="s">
        <v>173</v>
      </c>
      <c r="AZ31" s="3"/>
      <c r="BA31" s="3" t="s">
        <v>149</v>
      </c>
      <c r="BB31" s="3" t="s">
        <v>150</v>
      </c>
      <c r="BC31" s="3" t="s">
        <v>282</v>
      </c>
      <c r="BD31" s="3" t="s">
        <v>173</v>
      </c>
      <c r="BG31" s="3"/>
      <c r="BH31" s="3" t="s">
        <v>161</v>
      </c>
      <c r="BI31" s="3" t="s">
        <v>150</v>
      </c>
      <c r="BJ31" s="3" t="s">
        <v>447</v>
      </c>
      <c r="BK31" s="3" t="s">
        <v>173</v>
      </c>
      <c r="BL31" s="3" t="s">
        <v>161</v>
      </c>
      <c r="BM31" s="3">
        <v>3</v>
      </c>
      <c r="BN31" s="3" t="s">
        <v>227</v>
      </c>
      <c r="BO31" s="3" t="s">
        <v>220</v>
      </c>
      <c r="BP31" s="3" t="s">
        <v>150</v>
      </c>
      <c r="BQ31" s="3" t="s">
        <v>448</v>
      </c>
      <c r="BR31" s="3" t="s">
        <v>173</v>
      </c>
      <c r="BS31" s="3" t="s">
        <v>220</v>
      </c>
      <c r="BT31" s="3">
        <v>3</v>
      </c>
      <c r="BU31" s="3" t="s">
        <v>283</v>
      </c>
      <c r="BY31" s="3" t="s">
        <v>173</v>
      </c>
      <c r="CJ31" s="6">
        <v>0.25</v>
      </c>
      <c r="CK31" s="6">
        <f>IF(CJ31&lt;0.26,2,IF(CJ31&lt;0.51,4,IF(CJ31&lt;1.1,8,99)))</f>
        <v>2</v>
      </c>
      <c r="CL31" s="3">
        <f>IF(M31="Elemental",10,IF(CJ31&lt;2,2,CJ31*3))</f>
        <v>2</v>
      </c>
      <c r="CM31" s="3">
        <f>IF(W31&gt;0,8,0)</f>
        <v>0</v>
      </c>
      <c r="CN31" s="3">
        <f>IF(X31&gt;0,4,0)</f>
        <v>0</v>
      </c>
    </row>
    <row r="32" spans="1:92">
      <c r="A32" s="3" t="str">
        <f>IF(DruidLevel&lt;B32,"",CHAR(9)&amp;"&lt;monster&gt;"&amp;CHAR(13)&amp;CHAR(9)&amp;CHAR(9)&amp;"&lt;name&gt;"&amp;L32&amp;" (Wild Shape)&lt;/name&gt;"&amp;CHAR(13)&amp;CHAR(9)&amp;CHAR(9)&amp;"&lt;size&gt;"&amp;LEFT(P32,1)&amp;"&lt;/size&gt;"&amp;CHAR(13)&amp;CHAR(9)&amp;CHAR(9)&amp;"&lt;type&gt;"&amp;M32&amp;"&lt;/type&gt;"&amp;CHAR(13)&amp;CHAR(9)&amp;CHAR(9)&amp;"&lt;alignment&gt;"&amp;N32&amp;"&lt;/alignment&gt;"&amp;CHAR(13)&amp;CHAR(9)&amp;CHAR(9)&amp;"&lt;ac&gt;"&amp;Q32&amp;IF(ISBLANK(R32),""," ("&amp;R32&amp;")")&amp;"&lt;/ac&gt;"&amp;CHAR(13)&amp;CHAR(9)&amp;CHAR(9)&amp;"&lt;hp&gt;"&amp;S32&amp;"&lt;/hp&gt;"&amp;CHAR(13)&amp;CHAR(9)&amp;CHAR(9)&amp;"&lt;speed&gt;"&amp;E32&amp;"&lt;/speed&gt;"&amp;CHAR(13)&amp;CHAR(9)&amp;CHAR(9)&amp;"&lt;str&gt;"&amp;Y32&amp;"&lt;/str&gt;&lt;dex&gt;"&amp;Z32&amp;"&lt;/dex&gt;&lt;con&gt;"&amp;AA32&amp;"&lt;/con&gt;&lt;int&gt;"&amp;AB32&amp;"&lt;/int&gt;&lt;wis&gt;"&amp;AC32&amp;"&lt;/wis&gt;&lt;cha&gt;"&amp;AD32&amp;"&lt;/cha&gt;"&amp;CHAR(13)&amp;CHAR(9)&amp;CHAR(9)&amp;"&lt;save&gt;"&amp;AK32&amp;"&lt;/save&gt;"&amp;CHAR(13)&amp;CHAR(9)&amp;CHAR(9)&amp;"&lt;skill&gt;"&amp;AJ32&amp;"&lt;/skill&gt;"&amp;CHAR(13)&amp;CHAR(9)&amp;CHAR(9)&amp;"&lt;vulnerable&gt;"&amp;AO32&amp;"&lt;/vulnerable&gt;"&amp;CHAR(13)&amp;CHAR(9)&amp;CHAR(9)&amp;"&lt;resist&gt;"&amp;AP32&amp;"&lt;/resist&gt;"&amp;CHAR(13)&amp;CHAR(9)&amp;CHAR(9)&amp;"&lt;immune&gt;"&amp;AQ32&amp;"&lt;/immune&gt;"&amp;CHAR(13)&amp;CHAR(9)&amp;CHAR(9)&amp;"&lt;conditionImmune&gt;"&amp;AR32&amp;"&lt;/conditionImmune&gt;"&amp;CHAR(13)&amp;CHAR(9)&amp;CHAR(9)&amp;"&lt;senses&gt;"&amp;AM32&amp;"&lt;/senses&gt;"&amp;CHAR(13)&amp;CHAR(9)&amp;CHAR(9)&amp;"&lt;passive&gt;"&amp;AN32&amp;"&lt;/passive&gt;"&amp;CHAR(13)&amp;CHAR(9)&amp;CHAR(9)&amp;"&lt;languages&gt;"&amp;AS32&amp;"&lt;/languages&gt;"&amp;CHAR(13)&amp;CHAR(9)&amp;CHAR(9)&amp;"&lt;cr&gt;"&amp;O32&amp;"&lt;/cr&gt;"&amp;F32&amp;G32&amp;H32&amp;I32&amp;J32&amp;K32&amp;IF(C32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2" s="3">
        <f>IF(COTM=TRUE,MAX(CL32,CM32,CN32),MAX(CK32,CM32,CN32))</f>
        <v>8</v>
      </c>
      <c r="C32" s="11" t="str">
        <f>IF(COTM=FALSE,"",IF(DruidLevel&gt;5,"Y",""))</f>
        <v/>
      </c>
      <c r="D32" s="3" t="s">
        <v>173</v>
      </c>
      <c r="E32" s="3" t="str">
        <f>T32&amp;" ft."&amp;IF(U32+V32+W32+X32=0,"",", ")&amp;IF(ISBLANK(U32),"","burrow "&amp;U32&amp;" ft."&amp;IF(V32+W32+X32=0,"",", "))&amp;IF(ISBLANK(V32),"","climb "&amp;V32&amp;" ft."&amp;IF(W32+X32=0,"",", "))&amp;IF(ISBLANK(W32),"","fly "&amp;W32&amp;" ft."&amp;IF(X32=0,"",", "))&amp;IF(ISBLANK(X32),"","swim "&amp;X32&amp;" ft.")</f>
        <v>10 ft., fly 60 ft.</v>
      </c>
      <c r="F32" s="3" t="str">
        <f>IF(ISBLANK(AT32),"",CHAR(13)&amp;CHAR(9)&amp;CHAR(9)&amp;"&lt;"&amp;AU32&amp;"&gt;"&amp;CHAR(13)&amp;CHAR(9)&amp;CHAR(9)&amp;CHAR(9)&amp;"&lt;name&gt;"&amp;AT32&amp;"&lt;/name&gt;"&amp;CHAR(13)&amp;CHAR(9)&amp;CHAR(9)&amp;CHAR(9)&amp;"&lt;text&gt;"&amp;AV32&amp;"&lt;/text&gt;"&amp;IF(ISBLANK(AX32),"",CHAR(13)&amp;CHAR(9)&amp;CHAR(9)&amp;CHAR(9)&amp;"&lt;attack&gt;"&amp;AX32&amp;"|"&amp;AY32&amp;"|"&amp;AZ32&amp;"&lt;/attack&gt;")&amp;CHAR(13)&amp;CHAR(9)&amp;CHAR(9)&amp;"&lt;/"&amp;AU32&amp;"&gt;")</f>
        <v>_x000D_		&lt;trait&gt;_x000D_			&lt;name&gt;Echolocation&lt;/name&gt;_x000D_			&lt;text&gt;The bat can't use its blindsight while deafened.&lt;/text&gt;_x000D_		&lt;/trait&gt;</v>
      </c>
      <c r="G32" s="3" t="str">
        <f>IF(ISBLANK(BA32),"",CHAR(13)&amp;CHAR(9)&amp;CHAR(9)&amp;"&lt;"&amp;BB32&amp;"&gt;"&amp;CHAR(13)&amp;CHAR(9)&amp;CHAR(9)&amp;CHAR(9)&amp;"&lt;name&gt;"&amp;BA32&amp;"&lt;/name&gt;"&amp;CHAR(13)&amp;CHAR(9)&amp;CHAR(9)&amp;CHAR(9)&amp;"&lt;text&gt;"&amp;BC32&amp;"&lt;/text&gt;"&amp;IF(ISBLANK(BE32),"",CHAR(13)&amp;CHAR(9)&amp;CHAR(9)&amp;CHAR(9)&amp;"&lt;attack&gt;"&amp;BE32&amp;"|"&amp;BF32&amp;"|"&amp;BG32&amp;"&lt;/attack&gt;")&amp;CHAR(13)&amp;CHAR(9)&amp;CHAR(9)&amp;"&lt;/"&amp;BB32&amp;"&gt;")</f>
        <v>_x000D_		&lt;trait&gt;_x000D_			&lt;name&gt;Keen Hearing&lt;/name&gt;_x000D_			&lt;text&gt;The bat has advantage on Wisdom (Perception) checks that rely on hearing.&lt;/text&gt;_x000D_		&lt;/trait&gt;</v>
      </c>
      <c r="H32" s="3" t="str">
        <f>IF(ISBLANK(BH32),"",CHAR(13)&amp;CHAR(9)&amp;CHAR(9)&amp;"&lt;"&amp;BI32&amp;"&gt;"&amp;CHAR(13)&amp;CHAR(9)&amp;CHAR(9)&amp;CHAR(9)&amp;"&lt;name&gt;"&amp;BH32&amp;"&lt;/name&gt;"&amp;CHAR(13)&amp;CHAR(9)&amp;CHAR(9)&amp;CHAR(9)&amp;"&lt;text&gt;"&amp;BJ32&amp;"&lt;/text&gt;"&amp;IF(ISBLANK(BL32),"",CHAR(13)&amp;CHAR(9)&amp;CHAR(9)&amp;CHAR(9)&amp;"&lt;attack&gt;"&amp;BL32&amp;"|"&amp;BM32&amp;"|"&amp;BN32&amp;"&lt;/attack&gt;")&amp;CHAR(13)&amp;CHAR(9)&amp;CHAR(9)&amp;"&lt;/"&amp;BI32&amp;"&gt;")</f>
        <v>_x000D_		&lt;action&gt;_x000D_			&lt;name&gt;Bite&lt;/name&gt;_x000D_			&lt;text&gt;Melee Weapon Attack: +4 to hit, reach 5 ft., one creature. Hit: 5 (1d6+2) piercing damage.&lt;/text&gt;_x000D_			&lt;attack&gt;Bite|4|1d6+2&lt;/attack&gt;_x000D_		&lt;/action&gt;</v>
      </c>
      <c r="I32" s="3" t="str">
        <f>IF(ISBLANK(BO32),"",CHAR(13)&amp;CHAR(9)&amp;CHAR(9)&amp;"&lt;"&amp;BP32&amp;"&gt;"&amp;CHAR(13)&amp;CHAR(9)&amp;CHAR(9)&amp;CHAR(9)&amp;"&lt;name&gt;"&amp;BO32&amp;"&lt;/name&gt;"&amp;CHAR(13)&amp;CHAR(9)&amp;CHAR(9)&amp;CHAR(9)&amp;"&lt;text&gt;"&amp;BQ32&amp;"&lt;/text&gt;"&amp;IF(ISBLANK(BS32),"",CHAR(13)&amp;CHAR(9)&amp;CHAR(9)&amp;CHAR(9)&amp;"&lt;attack&gt;"&amp;BS32&amp;"|"&amp;BT32&amp;"|"&amp;BU32&amp;"&lt;/attack&gt;")&amp;CHAR(13)&amp;CHAR(9)&amp;CHAR(9)&amp;"&lt;/"&amp;BP32&amp;"&gt;")</f>
        <v/>
      </c>
      <c r="J32" s="3" t="str">
        <f>IF(ISBLANK(BV32),"",CHAR(13)&amp;CHAR(9)&amp;CHAR(9)&amp;"&lt;"&amp;BW32&amp;"&gt;"&amp;CHAR(13)&amp;CHAR(9)&amp;CHAR(9)&amp;CHAR(9)&amp;"&lt;name&gt;"&amp;BV32&amp;"&lt;/name&gt;"&amp;CHAR(13)&amp;CHAR(9)&amp;CHAR(9)&amp;CHAR(9)&amp;"&lt;text&gt;"&amp;BX32&amp;"&lt;/text&gt;"&amp;IF(ISBLANK(BZ32),"",CHAR(13)&amp;CHAR(9)&amp;CHAR(9)&amp;CHAR(9)&amp;"&lt;attack&gt;"&amp;BZ32&amp;"|"&amp;CA32&amp;"|"&amp;CB32&amp;"&lt;/attack&gt;")&amp;CHAR(13)&amp;CHAR(9)&amp;CHAR(9)&amp;"&lt;/"&amp;BW32&amp;"&gt;")</f>
        <v/>
      </c>
      <c r="K32" s="3" t="str">
        <f>IF(ISBLANK(CC32),"",CHAR(13)&amp;CHAR(9)&amp;CHAR(9)&amp;"&lt;"&amp;CD32&amp;"&gt;"&amp;CHAR(13)&amp;CHAR(9)&amp;CHAR(9)&amp;CHAR(9)&amp;"&lt;name&gt;"&amp;CC32&amp;"&lt;/name&gt;"&amp;CHAR(13)&amp;CHAR(9)&amp;CHAR(9)&amp;CHAR(9)&amp;"&lt;text&gt;"&amp;CE32&amp;"&lt;/text&gt;"&amp;IF(ISBLANK(CG32),"",CHAR(13)&amp;CHAR(9)&amp;CHAR(9)&amp;CHAR(9)&amp;"&lt;attack&gt;"&amp;CG32&amp;"|"&amp;CH32&amp;"|"&amp;CI32&amp;"&lt;/attack&gt;")&amp;CHAR(13)&amp;CHAR(9)&amp;CHAR(9)&amp;"&lt;/"&amp;CD32&amp;"&gt;")</f>
        <v/>
      </c>
      <c r="L32" s="1" t="s">
        <v>97</v>
      </c>
      <c r="M32" s="1" t="s">
        <v>275</v>
      </c>
      <c r="N32" s="1">
        <f>DruidAlignment</f>
        <v>0</v>
      </c>
      <c r="O32" s="2" t="s">
        <v>208</v>
      </c>
      <c r="P32" s="1" t="s">
        <v>2</v>
      </c>
      <c r="Q32" s="1">
        <v>13</v>
      </c>
      <c r="R32" s="1"/>
      <c r="S32" s="1">
        <v>22</v>
      </c>
      <c r="T32" s="1">
        <v>10</v>
      </c>
      <c r="W32" s="1">
        <v>60</v>
      </c>
      <c r="Y32" s="1">
        <v>15</v>
      </c>
      <c r="Z32" s="1">
        <v>16</v>
      </c>
      <c r="AA32" s="1">
        <v>11</v>
      </c>
      <c r="AB32" s="10">
        <f>DruidInt</f>
        <v>0</v>
      </c>
      <c r="AC32" s="10">
        <f>DruidWis</f>
        <v>0</v>
      </c>
      <c r="AD32" s="10">
        <f>DruidCha</f>
        <v>0</v>
      </c>
      <c r="AE32" s="12"/>
      <c r="AF32" s="12">
        <v>3</v>
      </c>
      <c r="AG32" s="12"/>
      <c r="AH32" s="12" t="s">
        <v>173</v>
      </c>
      <c r="AI32" s="12" t="str">
        <f>IF(ISBLANK(DruidAcrobatics),"",", Acrobatics +"&amp;DruidAcrobatics)&amp;IF(ISBLANK(DruidAnimalHandling),"",", Animal Handling +"&amp;DruidAnimalHandling)&amp;IF(ISBLANK(DruidArcana),"",", Arcana +"&amp;DruidArcana)&amp;IF(DruidAthletics+AE32=0,"",", Athletics +"&amp;MAX(DruidAthletics,AE32))&amp;IF(ISBLANK(DruidDeception),"",",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+"&amp;DruidNature)&amp;IF(DruidPerception+AF32=0,"",", Perception +"&amp;MAX(DruidPerception,AF32))&amp;IF(ISBLANK(DruidPerformance),"",", Performance +"&amp;DruidPerformance)&amp;IF(ISBLANK(DruidPersuasion),"",", Persuasion +"&amp;DruidPersuasion)&amp;IF(ISBLANK(DruidReligion),"",", Religion +"&amp;DruidReligion)&amp;IF(ISBLANK(DruidSleightofHand),"",", Sleight of Hand +"&amp;DruidSleightofHand)&amp;IF(DruidStealth+AG32=0,"",", Stealth +"&amp;MAX(DruidStealth,AG32))&amp;IF(ISBLANK(DruidSurvival),"",", Survival +"&amp;DruidSurvival)</f>
        <v>, Perception +3</v>
      </c>
      <c r="AJ32" s="1" t="str">
        <f>RIGHT(AI32,LEN(AI32)-2)</f>
        <v>Perception +3</v>
      </c>
      <c r="AK3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2" s="1" t="s">
        <v>173</v>
      </c>
      <c r="AM32" s="1" t="s">
        <v>179</v>
      </c>
      <c r="AN32" s="3">
        <f>IF(DruidPerception+AF32=0,10+(ROUNDDOWN((AC32-10)/2,0)),10+MAX(DruidPerception,AF32))</f>
        <v>13</v>
      </c>
      <c r="AO32" s="1"/>
      <c r="AP32" s="1"/>
      <c r="AQ32" s="1"/>
      <c r="AR32" s="1"/>
      <c r="AS32" s="1"/>
      <c r="AT32" s="3" t="s">
        <v>213</v>
      </c>
      <c r="AU32" s="3" t="s">
        <v>148</v>
      </c>
      <c r="AV32" s="3" t="s">
        <v>493</v>
      </c>
      <c r="AW32" s="3" t="s">
        <v>173</v>
      </c>
      <c r="AZ32" s="3"/>
      <c r="BA32" s="3" t="s">
        <v>214</v>
      </c>
      <c r="BB32" s="3" t="s">
        <v>148</v>
      </c>
      <c r="BC32" s="3" t="s">
        <v>215</v>
      </c>
      <c r="BD32" s="3" t="s">
        <v>173</v>
      </c>
      <c r="BG32" s="3"/>
      <c r="BH32" s="3" t="s">
        <v>161</v>
      </c>
      <c r="BI32" s="3" t="s">
        <v>150</v>
      </c>
      <c r="BJ32" s="3" t="s">
        <v>442</v>
      </c>
      <c r="BK32" s="3" t="s">
        <v>173</v>
      </c>
      <c r="BL32" s="3" t="s">
        <v>161</v>
      </c>
      <c r="BM32" s="3">
        <v>4</v>
      </c>
      <c r="BN32" s="3" t="s">
        <v>219</v>
      </c>
      <c r="BR32" s="3" t="s">
        <v>173</v>
      </c>
      <c r="BY32" s="3" t="s">
        <v>173</v>
      </c>
      <c r="CJ32" s="6">
        <v>0.25</v>
      </c>
      <c r="CK32" s="6">
        <f>IF(CJ32&lt;0.26,2,IF(CJ32&lt;0.51,4,IF(CJ32&lt;1.1,8,99)))</f>
        <v>2</v>
      </c>
      <c r="CL32" s="3">
        <f>IF(M32="Elemental",10,IF(CJ32&lt;2,2,CJ32*3))</f>
        <v>2</v>
      </c>
      <c r="CM32" s="3">
        <f>IF(W32&gt;0,8,0)</f>
        <v>8</v>
      </c>
      <c r="CN32" s="3">
        <f>IF(X32&gt;0,4,0)</f>
        <v>0</v>
      </c>
    </row>
    <row r="33" spans="1:92">
      <c r="A33" s="3" t="str">
        <f>IF(DruidLevel&lt;B33,"",CHAR(9)&amp;"&lt;monster&gt;"&amp;CHAR(13)&amp;CHAR(9)&amp;CHAR(9)&amp;"&lt;name&gt;"&amp;L33&amp;" (Wild Shape)&lt;/name&gt;"&amp;CHAR(13)&amp;CHAR(9)&amp;CHAR(9)&amp;"&lt;size&gt;"&amp;LEFT(P33,1)&amp;"&lt;/size&gt;"&amp;CHAR(13)&amp;CHAR(9)&amp;CHAR(9)&amp;"&lt;type&gt;"&amp;M33&amp;"&lt;/type&gt;"&amp;CHAR(13)&amp;CHAR(9)&amp;CHAR(9)&amp;"&lt;alignment&gt;"&amp;N33&amp;"&lt;/alignment&gt;"&amp;CHAR(13)&amp;CHAR(9)&amp;CHAR(9)&amp;"&lt;ac&gt;"&amp;Q33&amp;IF(ISBLANK(R33),""," ("&amp;R33&amp;")")&amp;"&lt;/ac&gt;"&amp;CHAR(13)&amp;CHAR(9)&amp;CHAR(9)&amp;"&lt;hp&gt;"&amp;S33&amp;"&lt;/hp&gt;"&amp;CHAR(13)&amp;CHAR(9)&amp;CHAR(9)&amp;"&lt;speed&gt;"&amp;E33&amp;"&lt;/speed&gt;"&amp;CHAR(13)&amp;CHAR(9)&amp;CHAR(9)&amp;"&lt;str&gt;"&amp;Y33&amp;"&lt;/str&gt;&lt;dex&gt;"&amp;Z33&amp;"&lt;/dex&gt;&lt;con&gt;"&amp;AA33&amp;"&lt;/con&gt;&lt;int&gt;"&amp;AB33&amp;"&lt;/int&gt;&lt;wis&gt;"&amp;AC33&amp;"&lt;/wis&gt;&lt;cha&gt;"&amp;AD33&amp;"&lt;/cha&gt;"&amp;CHAR(13)&amp;CHAR(9)&amp;CHAR(9)&amp;"&lt;save&gt;"&amp;AK33&amp;"&lt;/save&gt;"&amp;CHAR(13)&amp;CHAR(9)&amp;CHAR(9)&amp;"&lt;skill&gt;"&amp;AJ33&amp;"&lt;/skill&gt;"&amp;CHAR(13)&amp;CHAR(9)&amp;CHAR(9)&amp;"&lt;vulnerable&gt;"&amp;AO33&amp;"&lt;/vulnerable&gt;"&amp;CHAR(13)&amp;CHAR(9)&amp;CHAR(9)&amp;"&lt;resist&gt;"&amp;AP33&amp;"&lt;/resist&gt;"&amp;CHAR(13)&amp;CHAR(9)&amp;CHAR(9)&amp;"&lt;immune&gt;"&amp;AQ33&amp;"&lt;/immune&gt;"&amp;CHAR(13)&amp;CHAR(9)&amp;CHAR(9)&amp;"&lt;conditionImmune&gt;"&amp;AR33&amp;"&lt;/conditionImmune&gt;"&amp;CHAR(13)&amp;CHAR(9)&amp;CHAR(9)&amp;"&lt;senses&gt;"&amp;AM33&amp;"&lt;/senses&gt;"&amp;CHAR(13)&amp;CHAR(9)&amp;CHAR(9)&amp;"&lt;passive&gt;"&amp;AN33&amp;"&lt;/passive&gt;"&amp;CHAR(13)&amp;CHAR(9)&amp;CHAR(9)&amp;"&lt;languages&gt;"&amp;AS33&amp;"&lt;/languages&gt;"&amp;CHAR(13)&amp;CHAR(9)&amp;CHAR(9)&amp;"&lt;cr&gt;"&amp;O33&amp;"&lt;/cr&gt;"&amp;F33&amp;G33&amp;H33&amp;I33&amp;J33&amp;K33&amp;IF(C33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3" s="3">
        <f>IF(COTM=TRUE,MAX(CL33,CM33,CN33),MAX(CK33,CM33,CN33))</f>
        <v>99</v>
      </c>
      <c r="C33" s="11" t="str">
        <f>IF(COTM=FALSE,"",IF(DruidLevel&gt;5,"Y",""))</f>
        <v/>
      </c>
      <c r="D33" s="3" t="s">
        <v>173</v>
      </c>
      <c r="E33" s="3" t="str">
        <f>T33&amp;" ft."&amp;IF(U33+V33+W33+X33=0,"",", ")&amp;IF(ISBLANK(U33),"","burrow "&amp;U33&amp;" ft."&amp;IF(V33+W33+X33=0,"",", "))&amp;IF(ISBLANK(V33),"","climb "&amp;V33&amp;" ft."&amp;IF(W33+X33=0,"",", "))&amp;IF(ISBLANK(W33),"","fly "&amp;W33&amp;" ft."&amp;IF(X33=0,"",", "))&amp;IF(ISBLANK(X33),"","swim "&amp;X33&amp;" ft.")</f>
        <v>40 ft.</v>
      </c>
      <c r="F33" s="3" t="str">
        <f>IF(ISBLANK(AT33),"",CHAR(13)&amp;CHAR(9)&amp;CHAR(9)&amp;"&lt;"&amp;AU33&amp;"&gt;"&amp;CHAR(13)&amp;CHAR(9)&amp;CHAR(9)&amp;CHAR(9)&amp;"&lt;name&gt;"&amp;AT33&amp;"&lt;/name&gt;"&amp;CHAR(13)&amp;CHAR(9)&amp;CHAR(9)&amp;CHAR(9)&amp;"&lt;text&gt;"&amp;AV33&amp;"&lt;/text&gt;"&amp;IF(ISBLANK(AX33),"",CHAR(13)&amp;CHAR(9)&amp;CHAR(9)&amp;CHAR(9)&amp;"&lt;attack&gt;"&amp;AX33&amp;"|"&amp;AY33&amp;"|"&amp;AZ33&amp;"&lt;/attack&gt;")&amp;CHAR(13)&amp;CHAR(9)&amp;CHAR(9)&amp;"&lt;/"&amp;AU33&amp;"&gt;")</f>
        <v>_x000D_		&lt;trait&gt;_x000D_			&lt;name&gt;Charge&lt;/name&gt;_x000D_			&lt;text&gt;If the boar moves at least 20 feet straight toward a target and then hits it with a tusk attack on the same turn, the target takes an extra 7 (2d6) slashing damage. If the target is a creature, it must succeed on a DC 13 Strength saving throw or be knocked prone.&lt;/text&gt;_x000D_		&lt;/trait&gt;</v>
      </c>
      <c r="G33" s="3" t="str">
        <f>IF(ISBLANK(BA33),"",CHAR(13)&amp;CHAR(9)&amp;CHAR(9)&amp;"&lt;"&amp;BB33&amp;"&gt;"&amp;CHAR(13)&amp;CHAR(9)&amp;CHAR(9)&amp;CHAR(9)&amp;"&lt;name&gt;"&amp;BA33&amp;"&lt;/name&gt;"&amp;CHAR(13)&amp;CHAR(9)&amp;CHAR(9)&amp;CHAR(9)&amp;"&lt;text&gt;"&amp;BC33&amp;"&lt;/text&gt;"&amp;IF(ISBLANK(BE33),"",CHAR(13)&amp;CHAR(9)&amp;CHAR(9)&amp;CHAR(9)&amp;"&lt;attack&gt;"&amp;BE33&amp;"|"&amp;BF33&amp;"|"&amp;BG33&amp;"&lt;/attack&gt;")&amp;CHAR(13)&amp;CHAR(9)&amp;CHAR(9)&amp;"&lt;/"&amp;BB33&amp;"&gt;")</f>
        <v>_x000D_		&lt;trait&gt;_x000D_			&lt;name&gt;Relentless (Recharges after a Short or Long Rest)&lt;/name&gt;_x000D_			&lt;text&gt;If the boar takes 10 damage or less that would reduce it to 0 hit points, it is reduced to 1 hit point instead.&lt;/text&gt;_x000D_		&lt;/trait&gt;</v>
      </c>
      <c r="H33" s="3" t="str">
        <f>IF(ISBLANK(BH33),"",CHAR(13)&amp;CHAR(9)&amp;CHAR(9)&amp;"&lt;"&amp;BI33&amp;"&gt;"&amp;CHAR(13)&amp;CHAR(9)&amp;CHAR(9)&amp;CHAR(9)&amp;"&lt;name&gt;"&amp;BH33&amp;"&lt;/name&gt;"&amp;CHAR(13)&amp;CHAR(9)&amp;CHAR(9)&amp;CHAR(9)&amp;"&lt;text&gt;"&amp;BJ33&amp;"&lt;/text&gt;"&amp;IF(ISBLANK(BL33),"",CHAR(13)&amp;CHAR(9)&amp;CHAR(9)&amp;CHAR(9)&amp;"&lt;attack&gt;"&amp;BL33&amp;"|"&amp;BM33&amp;"|"&amp;BN33&amp;"&lt;/attack&gt;")&amp;CHAR(13)&amp;CHAR(9)&amp;CHAR(9)&amp;"&lt;/"&amp;BI33&amp;"&gt;")</f>
        <v>_x000D_		&lt;action&gt;_x000D_			&lt;name&gt;Tusk&lt;/name&gt;_x000D_			&lt;text&gt;Melee Weapon Attack: +5 to hit, reach 5 ft., one target. Hit: 10 (2d6 + 3) slashing damage.&lt;/text&gt;_x000D_			&lt;attack&gt;Tusk|5|2d6+3&lt;/attack&gt;_x000D_		&lt;/action&gt;</v>
      </c>
      <c r="I33" s="3" t="str">
        <f>IF(ISBLANK(BO33),"",CHAR(13)&amp;CHAR(9)&amp;CHAR(9)&amp;"&lt;"&amp;BP33&amp;"&gt;"&amp;CHAR(13)&amp;CHAR(9)&amp;CHAR(9)&amp;CHAR(9)&amp;"&lt;name&gt;"&amp;BO33&amp;"&lt;/name&gt;"&amp;CHAR(13)&amp;CHAR(9)&amp;CHAR(9)&amp;CHAR(9)&amp;"&lt;text&gt;"&amp;BQ33&amp;"&lt;/text&gt;"&amp;IF(ISBLANK(BS33),"",CHAR(13)&amp;CHAR(9)&amp;CHAR(9)&amp;CHAR(9)&amp;"&lt;attack&gt;"&amp;BS33&amp;"|"&amp;BT33&amp;"|"&amp;BU33&amp;"&lt;/attack&gt;")&amp;CHAR(13)&amp;CHAR(9)&amp;CHAR(9)&amp;"&lt;/"&amp;BP33&amp;"&gt;")</f>
        <v/>
      </c>
      <c r="J33" s="3" t="str">
        <f>IF(ISBLANK(BV33),"",CHAR(13)&amp;CHAR(9)&amp;CHAR(9)&amp;"&lt;"&amp;BW33&amp;"&gt;"&amp;CHAR(13)&amp;CHAR(9)&amp;CHAR(9)&amp;CHAR(9)&amp;"&lt;name&gt;"&amp;BV33&amp;"&lt;/name&gt;"&amp;CHAR(13)&amp;CHAR(9)&amp;CHAR(9)&amp;CHAR(9)&amp;"&lt;text&gt;"&amp;BX33&amp;"&lt;/text&gt;"&amp;IF(ISBLANK(BZ33),"",CHAR(13)&amp;CHAR(9)&amp;CHAR(9)&amp;CHAR(9)&amp;"&lt;attack&gt;"&amp;BZ33&amp;"|"&amp;CA33&amp;"|"&amp;CB33&amp;"&lt;/attack&gt;")&amp;CHAR(13)&amp;CHAR(9)&amp;CHAR(9)&amp;"&lt;/"&amp;BW33&amp;"&gt;")</f>
        <v/>
      </c>
      <c r="K33" s="3" t="str">
        <f>IF(ISBLANK(CC33),"",CHAR(13)&amp;CHAR(9)&amp;CHAR(9)&amp;"&lt;"&amp;CD33&amp;"&gt;"&amp;CHAR(13)&amp;CHAR(9)&amp;CHAR(9)&amp;CHAR(9)&amp;"&lt;name&gt;"&amp;CC33&amp;"&lt;/name&gt;"&amp;CHAR(13)&amp;CHAR(9)&amp;CHAR(9)&amp;CHAR(9)&amp;"&lt;text&gt;"&amp;CE33&amp;"&lt;/text&gt;"&amp;IF(ISBLANK(CG33),"",CHAR(13)&amp;CHAR(9)&amp;CHAR(9)&amp;CHAR(9)&amp;"&lt;attack&gt;"&amp;CG33&amp;"|"&amp;CH33&amp;"|"&amp;CI33&amp;"&lt;/attack&gt;")&amp;CHAR(13)&amp;CHAR(9)&amp;CHAR(9)&amp;"&lt;/"&amp;CD33&amp;"&gt;")</f>
        <v/>
      </c>
      <c r="L33" s="1" t="s">
        <v>78</v>
      </c>
      <c r="M33" s="1" t="s">
        <v>275</v>
      </c>
      <c r="N33" s="1">
        <f>DruidAlignment</f>
        <v>0</v>
      </c>
      <c r="O33" s="2">
        <v>2</v>
      </c>
      <c r="P33" s="1" t="s">
        <v>2</v>
      </c>
      <c r="Q33" s="1">
        <v>12</v>
      </c>
      <c r="R33" s="1" t="s">
        <v>405</v>
      </c>
      <c r="S33" s="1">
        <v>42</v>
      </c>
      <c r="T33" s="1">
        <v>40</v>
      </c>
      <c r="Y33" s="1">
        <v>17</v>
      </c>
      <c r="Z33" s="1">
        <v>10</v>
      </c>
      <c r="AA33" s="1">
        <v>16</v>
      </c>
      <c r="AB33" s="10">
        <f>DruidInt</f>
        <v>0</v>
      </c>
      <c r="AC33" s="10">
        <f>DruidWis</f>
        <v>0</v>
      </c>
      <c r="AD33" s="10">
        <f>DruidCha</f>
        <v>0</v>
      </c>
      <c r="AE33" s="12"/>
      <c r="AF33" s="12">
        <v>3</v>
      </c>
      <c r="AG33" s="12"/>
      <c r="AH33" s="12" t="s">
        <v>173</v>
      </c>
      <c r="AI33" s="12" t="str">
        <f>IF(ISBLANK(DruidAcrobatics),"",", Acrobatics +"&amp;DruidAcrobatics)&amp;IF(ISBLANK(DruidAnimalHandling),"",", Animal Handling +"&amp;DruidAnimalHandling)&amp;IF(ISBLANK(DruidArcana),"",", Arcana +"&amp;DruidArcana)&amp;IF(DruidAthletics+AE33=0,"",", Athletics +"&amp;MAX(DruidAthletics,AE33))&amp;IF(ISBLANK(DruidDeception),"",",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+"&amp;DruidNature)&amp;IF(DruidPerception+AF33=0,"",", Perception +"&amp;MAX(DruidPerception,AF33))&amp;IF(ISBLANK(DruidPerformance),"",", Performance +"&amp;DruidPerformance)&amp;IF(ISBLANK(DruidPersuasion),"",", Persuasion +"&amp;DruidPersuasion)&amp;IF(ISBLANK(DruidReligion),"",", Religion +"&amp;DruidReligion)&amp;IF(ISBLANK(DruidSleightofHand),"",", Sleight of Hand +"&amp;DruidSleightofHand)&amp;IF(DruidStealth+AG33=0,"",", Stealth +"&amp;MAX(DruidStealth,AG33))&amp;IF(ISBLANK(DruidSurvival),"",", Survival +"&amp;DruidSurvival)</f>
        <v>, Perception +3</v>
      </c>
      <c r="AJ33" s="1" t="str">
        <f>RIGHT(AI33,LEN(AI33)-2)</f>
        <v>Perception +3</v>
      </c>
      <c r="AK3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3" s="1" t="s">
        <v>173</v>
      </c>
      <c r="AN33" s="3">
        <f>IF(DruidPerception+AF33=0,10+(ROUNDDOWN((AC33-10)/2,0)),10+MAX(DruidPerception,AF33))</f>
        <v>13</v>
      </c>
      <c r="AT33" s="3" t="s">
        <v>38</v>
      </c>
      <c r="AU33" s="3" t="s">
        <v>148</v>
      </c>
      <c r="AV33" s="3" t="s">
        <v>284</v>
      </c>
      <c r="AW33" s="3" t="s">
        <v>173</v>
      </c>
      <c r="AZ33" s="3"/>
      <c r="BA33" s="3" t="s">
        <v>224</v>
      </c>
      <c r="BB33" s="3" t="s">
        <v>148</v>
      </c>
      <c r="BC33" s="3" t="s">
        <v>285</v>
      </c>
      <c r="BD33" s="3" t="s">
        <v>173</v>
      </c>
      <c r="BG33" s="3"/>
      <c r="BH33" s="3" t="s">
        <v>226</v>
      </c>
      <c r="BI33" s="3" t="s">
        <v>150</v>
      </c>
      <c r="BJ33" s="3" t="s">
        <v>286</v>
      </c>
      <c r="BK33" s="3" t="s">
        <v>173</v>
      </c>
      <c r="BL33" s="3" t="s">
        <v>226</v>
      </c>
      <c r="BM33" s="3">
        <v>5</v>
      </c>
      <c r="BN33" s="3" t="s">
        <v>192</v>
      </c>
      <c r="BR33" s="3" t="s">
        <v>173</v>
      </c>
      <c r="BY33" s="3" t="s">
        <v>173</v>
      </c>
      <c r="CJ33" s="6">
        <v>2</v>
      </c>
      <c r="CK33" s="6">
        <f>IF(CJ33&lt;0.26,2,IF(CJ33&lt;0.51,4,IF(CJ33&lt;1.1,8,99)))</f>
        <v>99</v>
      </c>
      <c r="CL33" s="3">
        <f>IF(M33="Elemental",10,IF(CJ33&lt;2,2,CJ33*3))</f>
        <v>6</v>
      </c>
      <c r="CM33" s="3">
        <f>IF(W33&gt;0,8,0)</f>
        <v>0</v>
      </c>
      <c r="CN33" s="3">
        <f>IF(X33&gt;0,4,0)</f>
        <v>0</v>
      </c>
    </row>
    <row r="34" spans="1:92">
      <c r="A34" s="3" t="str">
        <f>IF(DruidLevel&lt;B34,"",CHAR(9)&amp;"&lt;monster&gt;"&amp;CHAR(13)&amp;CHAR(9)&amp;CHAR(9)&amp;"&lt;name&gt;"&amp;L34&amp;" (Wild Shape)&lt;/name&gt;"&amp;CHAR(13)&amp;CHAR(9)&amp;CHAR(9)&amp;"&lt;size&gt;"&amp;LEFT(P34,1)&amp;"&lt;/size&gt;"&amp;CHAR(13)&amp;CHAR(9)&amp;CHAR(9)&amp;"&lt;type&gt;"&amp;M34&amp;"&lt;/type&gt;"&amp;CHAR(13)&amp;CHAR(9)&amp;CHAR(9)&amp;"&lt;alignment&gt;"&amp;N34&amp;"&lt;/alignment&gt;"&amp;CHAR(13)&amp;CHAR(9)&amp;CHAR(9)&amp;"&lt;ac&gt;"&amp;Q34&amp;IF(ISBLANK(R34),""," ("&amp;R34&amp;")")&amp;"&lt;/ac&gt;"&amp;CHAR(13)&amp;CHAR(9)&amp;CHAR(9)&amp;"&lt;hp&gt;"&amp;S34&amp;"&lt;/hp&gt;"&amp;CHAR(13)&amp;CHAR(9)&amp;CHAR(9)&amp;"&lt;speed&gt;"&amp;E34&amp;"&lt;/speed&gt;"&amp;CHAR(13)&amp;CHAR(9)&amp;CHAR(9)&amp;"&lt;str&gt;"&amp;Y34&amp;"&lt;/str&gt;&lt;dex&gt;"&amp;Z34&amp;"&lt;/dex&gt;&lt;con&gt;"&amp;AA34&amp;"&lt;/con&gt;&lt;int&gt;"&amp;AB34&amp;"&lt;/int&gt;&lt;wis&gt;"&amp;AC34&amp;"&lt;/wis&gt;&lt;cha&gt;"&amp;AD34&amp;"&lt;/cha&gt;"&amp;CHAR(13)&amp;CHAR(9)&amp;CHAR(9)&amp;"&lt;save&gt;"&amp;AK34&amp;"&lt;/save&gt;"&amp;CHAR(13)&amp;CHAR(9)&amp;CHAR(9)&amp;"&lt;skill&gt;"&amp;AJ34&amp;"&lt;/skill&gt;"&amp;CHAR(13)&amp;CHAR(9)&amp;CHAR(9)&amp;"&lt;vulnerable&gt;"&amp;AO34&amp;"&lt;/vulnerable&gt;"&amp;CHAR(13)&amp;CHAR(9)&amp;CHAR(9)&amp;"&lt;resist&gt;"&amp;AP34&amp;"&lt;/resist&gt;"&amp;CHAR(13)&amp;CHAR(9)&amp;CHAR(9)&amp;"&lt;immune&gt;"&amp;AQ34&amp;"&lt;/immune&gt;"&amp;CHAR(13)&amp;CHAR(9)&amp;CHAR(9)&amp;"&lt;conditionImmune&gt;"&amp;AR34&amp;"&lt;/conditionImmune&gt;"&amp;CHAR(13)&amp;CHAR(9)&amp;CHAR(9)&amp;"&lt;senses&gt;"&amp;AM34&amp;"&lt;/senses&gt;"&amp;CHAR(13)&amp;CHAR(9)&amp;CHAR(9)&amp;"&lt;passive&gt;"&amp;AN34&amp;"&lt;/passive&gt;"&amp;CHAR(13)&amp;CHAR(9)&amp;CHAR(9)&amp;"&lt;languages&gt;"&amp;AS34&amp;"&lt;/languages&gt;"&amp;CHAR(13)&amp;CHAR(9)&amp;CHAR(9)&amp;"&lt;cr&gt;"&amp;O34&amp;"&lt;/cr&gt;"&amp;F34&amp;G34&amp;H34&amp;I34&amp;J34&amp;K34&amp;IF(C34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4" s="3">
        <f>IF(COTM=TRUE,MAX(CL34,CM34,CN34),MAX(CK34,CM34,CN34))</f>
        <v>2</v>
      </c>
      <c r="C34" s="11" t="str">
        <f>IF(COTM=FALSE,"",IF(DruidLevel&gt;5,"Y",""))</f>
        <v/>
      </c>
      <c r="D34" s="3" t="s">
        <v>173</v>
      </c>
      <c r="E34" s="3" t="str">
        <f>T34&amp;" ft."&amp;IF(U34+V34+W34+X34=0,"",", ")&amp;IF(ISBLANK(U34),"","burrow "&amp;U34&amp;" ft."&amp;IF(V34+W34+X34=0,"",", "))&amp;IF(ISBLANK(V34),"","climb "&amp;V34&amp;" ft."&amp;IF(W34+X34=0,"",", "))&amp;IF(ISBLANK(W34),"","fly "&amp;W34&amp;" ft."&amp;IF(X34=0,"",", "))&amp;IF(ISBLANK(X34),"","swim "&amp;X34&amp;" ft.")</f>
        <v>30 ft., climb 30 ft.</v>
      </c>
      <c r="F34" s="3" t="str">
        <f>IF(ISBLANK(AT34),"",CHAR(13)&amp;CHAR(9)&amp;CHAR(9)&amp;"&lt;"&amp;AU34&amp;"&gt;"&amp;CHAR(13)&amp;CHAR(9)&amp;CHAR(9)&amp;CHAR(9)&amp;"&lt;name&gt;"&amp;AT34&amp;"&lt;/name&gt;"&amp;CHAR(13)&amp;CHAR(9)&amp;CHAR(9)&amp;CHAR(9)&amp;"&lt;text&gt;"&amp;AV34&amp;"&lt;/text&gt;"&amp;IF(ISBLANK(AX34),"",CHAR(13)&amp;CHAR(9)&amp;CHAR(9)&amp;CHAR(9)&amp;"&lt;attack&gt;"&amp;AX34&amp;"|"&amp;AY34&amp;"|"&amp;AZ34&amp;"&lt;/attack&gt;")&amp;CHAR(13)&amp;CHAR(9)&amp;CHAR(9)&amp;"&lt;/"&amp;AU34&amp;"&gt;")</f>
        <v>_x000D_		&lt;action&gt;_x000D_			&lt;name&gt;Bite&lt;/name&gt;_x000D_			&lt;text&gt;Bite. Melee Weapon Attack: +4 to hit, reach 5 ft., one creature. Hit: 4 (1d4+2) piercing damage, and the target must succeed on a DC 11 Constitution saving throw or take 10 (3d6) poison damage. If the poison damage reduces the target to 0 hit points, the target is stable but poisoned for 1 hour, even after regaining hit points, and is paralyzed while poisoned in this way.&lt;/text&gt;_x000D_			&lt;attack&gt;Bite|4|1d4+2&lt;/attack&gt;_x000D_		&lt;/action&gt;</v>
      </c>
      <c r="G34" s="3" t="str">
        <f>IF(ISBLANK(BA34),"",CHAR(13)&amp;CHAR(9)&amp;CHAR(9)&amp;"&lt;"&amp;BB34&amp;"&gt;"&amp;CHAR(13)&amp;CHAR(9)&amp;CHAR(9)&amp;CHAR(9)&amp;"&lt;name&gt;"&amp;BA34&amp;"&lt;/name&gt;"&amp;CHAR(13)&amp;CHAR(9)&amp;CHAR(9)&amp;CHAR(9)&amp;"&lt;text&gt;"&amp;BC34&amp;"&lt;/text&gt;"&amp;IF(ISBLANK(BE34),"",CHAR(13)&amp;CHAR(9)&amp;CHAR(9)&amp;CHAR(9)&amp;"&lt;attack&gt;"&amp;BE34&amp;"|"&amp;BF34&amp;"|"&amp;BG34&amp;"&lt;/attack&gt;")&amp;CHAR(13)&amp;CHAR(9)&amp;CHAR(9)&amp;"&lt;/"&amp;BB34&amp;"&gt;")</f>
        <v/>
      </c>
      <c r="H34" s="3" t="str">
        <f>IF(ISBLANK(BH34),"",CHAR(13)&amp;CHAR(9)&amp;CHAR(9)&amp;"&lt;"&amp;BI34&amp;"&gt;"&amp;CHAR(13)&amp;CHAR(9)&amp;CHAR(9)&amp;CHAR(9)&amp;"&lt;name&gt;"&amp;BH34&amp;"&lt;/name&gt;"&amp;CHAR(13)&amp;CHAR(9)&amp;CHAR(9)&amp;CHAR(9)&amp;"&lt;text&gt;"&amp;BJ34&amp;"&lt;/text&gt;"&amp;IF(ISBLANK(BL34),"",CHAR(13)&amp;CHAR(9)&amp;CHAR(9)&amp;CHAR(9)&amp;"&lt;attack&gt;"&amp;BL34&amp;"|"&amp;BM34&amp;"|"&amp;BN34&amp;"&lt;/attack&gt;")&amp;CHAR(13)&amp;CHAR(9)&amp;CHAR(9)&amp;"&lt;/"&amp;BI34&amp;"&gt;")</f>
        <v/>
      </c>
      <c r="I34" s="3" t="str">
        <f>IF(ISBLANK(BO34),"",CHAR(13)&amp;CHAR(9)&amp;CHAR(9)&amp;"&lt;"&amp;BP34&amp;"&gt;"&amp;CHAR(13)&amp;CHAR(9)&amp;CHAR(9)&amp;CHAR(9)&amp;"&lt;name&gt;"&amp;BO34&amp;"&lt;/name&gt;"&amp;CHAR(13)&amp;CHAR(9)&amp;CHAR(9)&amp;CHAR(9)&amp;"&lt;text&gt;"&amp;BQ34&amp;"&lt;/text&gt;"&amp;IF(ISBLANK(BS34),"",CHAR(13)&amp;CHAR(9)&amp;CHAR(9)&amp;CHAR(9)&amp;"&lt;attack&gt;"&amp;BS34&amp;"|"&amp;BT34&amp;"|"&amp;BU34&amp;"&lt;/attack&gt;")&amp;CHAR(13)&amp;CHAR(9)&amp;CHAR(9)&amp;"&lt;/"&amp;BP34&amp;"&gt;")</f>
        <v/>
      </c>
      <c r="J34" s="3" t="str">
        <f>IF(ISBLANK(BV34),"",CHAR(13)&amp;CHAR(9)&amp;CHAR(9)&amp;"&lt;"&amp;BW34&amp;"&gt;"&amp;CHAR(13)&amp;CHAR(9)&amp;CHAR(9)&amp;CHAR(9)&amp;"&lt;name&gt;"&amp;BV34&amp;"&lt;/name&gt;"&amp;CHAR(13)&amp;CHAR(9)&amp;CHAR(9)&amp;CHAR(9)&amp;"&lt;text&gt;"&amp;BX34&amp;"&lt;/text&gt;"&amp;IF(ISBLANK(BZ34),"",CHAR(13)&amp;CHAR(9)&amp;CHAR(9)&amp;CHAR(9)&amp;"&lt;attack&gt;"&amp;BZ34&amp;"|"&amp;CA34&amp;"|"&amp;CB34&amp;"&lt;/attack&gt;")&amp;CHAR(13)&amp;CHAR(9)&amp;CHAR(9)&amp;"&lt;/"&amp;BW34&amp;"&gt;")</f>
        <v/>
      </c>
      <c r="K34" s="3" t="str">
        <f>IF(ISBLANK(CC34),"",CHAR(13)&amp;CHAR(9)&amp;CHAR(9)&amp;"&lt;"&amp;CD34&amp;"&gt;"&amp;CHAR(13)&amp;CHAR(9)&amp;CHAR(9)&amp;CHAR(9)&amp;"&lt;name&gt;"&amp;CC34&amp;"&lt;/name&gt;"&amp;CHAR(13)&amp;CHAR(9)&amp;CHAR(9)&amp;CHAR(9)&amp;"&lt;text&gt;"&amp;CE34&amp;"&lt;/text&gt;"&amp;IF(ISBLANK(CG34),"",CHAR(13)&amp;CHAR(9)&amp;CHAR(9)&amp;CHAR(9)&amp;"&lt;attack&gt;"&amp;CG34&amp;"|"&amp;CH34&amp;"|"&amp;CI34&amp;"&lt;/attack&gt;")&amp;CHAR(13)&amp;CHAR(9)&amp;CHAR(9)&amp;"&lt;/"&amp;CD34&amp;"&gt;")</f>
        <v/>
      </c>
      <c r="L34" s="1" t="s">
        <v>40</v>
      </c>
      <c r="M34" s="1" t="s">
        <v>275</v>
      </c>
      <c r="N34" s="1">
        <f>DruidAlignment</f>
        <v>0</v>
      </c>
      <c r="O34" s="2" t="s">
        <v>208</v>
      </c>
      <c r="P34" s="1" t="s">
        <v>11</v>
      </c>
      <c r="Q34" s="1">
        <v>13</v>
      </c>
      <c r="R34" s="1" t="s">
        <v>405</v>
      </c>
      <c r="S34" s="1">
        <v>4</v>
      </c>
      <c r="T34" s="1">
        <v>30</v>
      </c>
      <c r="V34" s="1">
        <v>30</v>
      </c>
      <c r="Y34" s="1">
        <v>5</v>
      </c>
      <c r="Z34" s="1">
        <v>14</v>
      </c>
      <c r="AA34" s="1">
        <v>12</v>
      </c>
      <c r="AB34" s="10">
        <f>DruidInt</f>
        <v>0</v>
      </c>
      <c r="AC34" s="10">
        <f>DruidWis</f>
        <v>0</v>
      </c>
      <c r="AD34" s="10">
        <f>DruidCha</f>
        <v>0</v>
      </c>
      <c r="AE34" s="12"/>
      <c r="AF34" s="12"/>
      <c r="AG34" s="12"/>
      <c r="AH34" s="12" t="s">
        <v>173</v>
      </c>
      <c r="AI34" s="12" t="str">
        <f>IF(ISBLANK(DruidAcrobatics),"",", Acrobatics +"&amp;DruidAcrobatics)&amp;IF(ISBLANK(DruidAnimalHandling),"",", Animal Handling +"&amp;DruidAnimalHandling)&amp;IF(ISBLANK(DruidArcana),"",", Arcana +"&amp;DruidArcana)&amp;IF(DruidAthletics+AE34=0,"",", Athletics +"&amp;MAX(DruidAthletics,AE34))&amp;IF(ISBLANK(DruidDeception),"",",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+"&amp;DruidNature)&amp;IF(DruidPerception+AF34=0,"",", Perception +"&amp;MAX(DruidPerception,AF34))&amp;IF(ISBLANK(DruidPerformance),"",", Performance +"&amp;DruidPerformance)&amp;IF(ISBLANK(DruidPersuasion),"",", Persuasion +"&amp;DruidPersuasion)&amp;IF(ISBLANK(DruidReligion),"",", Religion +"&amp;DruidReligion)&amp;IF(ISBLANK(DruidSleightofHand),"",", Sleight of Hand +"&amp;DruidSleightofHand)&amp;IF(DruidStealth+AG34=0,"",", Stealth +"&amp;MAX(DruidStealth,AG34))&amp;IF(ISBLANK(DruidSurvival),"",", Survival +"&amp;DruidSurvival)</f>
        <v/>
      </c>
      <c r="AJ34" s="1" t="e">
        <f>RIGHT(AI34,LEN(AI34)-2)</f>
        <v>#VALUE!</v>
      </c>
      <c r="AK3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4" s="1" t="s">
        <v>173</v>
      </c>
      <c r="AM34" s="1" t="s">
        <v>181</v>
      </c>
      <c r="AN34" s="3">
        <f>IF(DruidPerception+AF34=0,10+(ROUNDDOWN((AC34-10)/2,0)),10+MAX(DruidPerception,AF34))</f>
        <v>5</v>
      </c>
      <c r="AO34" s="1"/>
      <c r="AP34" s="1"/>
      <c r="AQ34" s="1"/>
      <c r="AR34" s="1"/>
      <c r="AS34" s="1"/>
      <c r="AT34" s="3" t="s">
        <v>161</v>
      </c>
      <c r="AU34" s="3" t="s">
        <v>150</v>
      </c>
      <c r="AV34" s="3" t="s">
        <v>449</v>
      </c>
      <c r="AW34" s="3" t="s">
        <v>173</v>
      </c>
      <c r="AX34" s="3" t="s">
        <v>161</v>
      </c>
      <c r="AY34" s="3">
        <v>4</v>
      </c>
      <c r="AZ34" s="3" t="s">
        <v>204</v>
      </c>
      <c r="BG34" s="3"/>
      <c r="BN34" s="3"/>
      <c r="CJ34" s="6">
        <v>0.25</v>
      </c>
      <c r="CK34" s="6">
        <f>IF(CJ34&lt;0.26,2,IF(CJ34&lt;0.51,4,IF(CJ34&lt;1.1,8,99)))</f>
        <v>2</v>
      </c>
      <c r="CL34" s="3">
        <f>IF(M34="Elemental",10,IF(CJ34&lt;2,2,CJ34*3))</f>
        <v>2</v>
      </c>
      <c r="CM34" s="3">
        <f>IF(W34&gt;0,8,0)</f>
        <v>0</v>
      </c>
      <c r="CN34" s="3">
        <f>IF(X34&gt;0,4,0)</f>
        <v>0</v>
      </c>
    </row>
    <row r="35" spans="1:92">
      <c r="A35" s="3" t="str">
        <f>IF(DruidLevel&lt;B35,"",CHAR(9)&amp;"&lt;monster&gt;"&amp;CHAR(13)&amp;CHAR(9)&amp;CHAR(9)&amp;"&lt;name&gt;"&amp;L35&amp;" (Wild Shape)&lt;/name&gt;"&amp;CHAR(13)&amp;CHAR(9)&amp;CHAR(9)&amp;"&lt;size&gt;"&amp;LEFT(P35,1)&amp;"&lt;/size&gt;"&amp;CHAR(13)&amp;CHAR(9)&amp;CHAR(9)&amp;"&lt;type&gt;"&amp;M35&amp;"&lt;/type&gt;"&amp;CHAR(13)&amp;CHAR(9)&amp;CHAR(9)&amp;"&lt;alignment&gt;"&amp;N35&amp;"&lt;/alignment&gt;"&amp;CHAR(13)&amp;CHAR(9)&amp;CHAR(9)&amp;"&lt;ac&gt;"&amp;Q35&amp;IF(ISBLANK(R35),""," ("&amp;R35&amp;")")&amp;"&lt;/ac&gt;"&amp;CHAR(13)&amp;CHAR(9)&amp;CHAR(9)&amp;"&lt;hp&gt;"&amp;S35&amp;"&lt;/hp&gt;"&amp;CHAR(13)&amp;CHAR(9)&amp;CHAR(9)&amp;"&lt;speed&gt;"&amp;E35&amp;"&lt;/speed&gt;"&amp;CHAR(13)&amp;CHAR(9)&amp;CHAR(9)&amp;"&lt;str&gt;"&amp;Y35&amp;"&lt;/str&gt;&lt;dex&gt;"&amp;Z35&amp;"&lt;/dex&gt;&lt;con&gt;"&amp;AA35&amp;"&lt;/con&gt;&lt;int&gt;"&amp;AB35&amp;"&lt;/int&gt;&lt;wis&gt;"&amp;AC35&amp;"&lt;/wis&gt;&lt;cha&gt;"&amp;AD35&amp;"&lt;/cha&gt;"&amp;CHAR(13)&amp;CHAR(9)&amp;CHAR(9)&amp;"&lt;save&gt;"&amp;AK35&amp;"&lt;/save&gt;"&amp;CHAR(13)&amp;CHAR(9)&amp;CHAR(9)&amp;"&lt;skill&gt;"&amp;AJ35&amp;"&lt;/skill&gt;"&amp;CHAR(13)&amp;CHAR(9)&amp;CHAR(9)&amp;"&lt;vulnerable&gt;"&amp;AO35&amp;"&lt;/vulnerable&gt;"&amp;CHAR(13)&amp;CHAR(9)&amp;CHAR(9)&amp;"&lt;resist&gt;"&amp;AP35&amp;"&lt;/resist&gt;"&amp;CHAR(13)&amp;CHAR(9)&amp;CHAR(9)&amp;"&lt;immune&gt;"&amp;AQ35&amp;"&lt;/immune&gt;"&amp;CHAR(13)&amp;CHAR(9)&amp;CHAR(9)&amp;"&lt;conditionImmune&gt;"&amp;AR35&amp;"&lt;/conditionImmune&gt;"&amp;CHAR(13)&amp;CHAR(9)&amp;CHAR(9)&amp;"&lt;senses&gt;"&amp;AM35&amp;"&lt;/senses&gt;"&amp;CHAR(13)&amp;CHAR(9)&amp;CHAR(9)&amp;"&lt;passive&gt;"&amp;AN35&amp;"&lt;/passive&gt;"&amp;CHAR(13)&amp;CHAR(9)&amp;CHAR(9)&amp;"&lt;languages&gt;"&amp;AS35&amp;"&lt;/languages&gt;"&amp;CHAR(13)&amp;CHAR(9)&amp;CHAR(9)&amp;"&lt;cr&gt;"&amp;O35&amp;"&lt;/cr&gt;"&amp;F35&amp;G35&amp;H35&amp;I35&amp;J35&amp;K35&amp;IF(C35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5" s="3">
        <f>IF(COTM=TRUE,MAX(CL35,CM35,CN35),MAX(CK35,CM35,CN35))</f>
        <v>99</v>
      </c>
      <c r="C35" s="11" t="str">
        <f>IF(COTM=FALSE,"",IF(DruidLevel&gt;5,"Y",""))</f>
        <v/>
      </c>
      <c r="D35" s="3" t="s">
        <v>173</v>
      </c>
      <c r="E35" s="3" t="str">
        <f>T35&amp;" ft."&amp;IF(U35+V35+W35+X35=0,"",", ")&amp;IF(ISBLANK(U35),"","burrow "&amp;U35&amp;" ft."&amp;IF(V35+W35+X35=0,"",", "))&amp;IF(ISBLANK(V35),"","climb "&amp;V35&amp;" ft."&amp;IF(W35+X35=0,"",", "))&amp;IF(ISBLANK(W35),"","fly "&amp;W35&amp;" ft."&amp;IF(X35=0,"",", "))&amp;IF(ISBLANK(X35),"","swim "&amp;X35&amp;" ft.")</f>
        <v>30 ft., swim 30 ft.</v>
      </c>
      <c r="F35" s="3" t="str">
        <f>IF(ISBLANK(AT35),"",CHAR(13)&amp;CHAR(9)&amp;CHAR(9)&amp;"&lt;"&amp;AU35&amp;"&gt;"&amp;CHAR(13)&amp;CHAR(9)&amp;CHAR(9)&amp;CHAR(9)&amp;"&lt;name&gt;"&amp;AT35&amp;"&lt;/name&gt;"&amp;CHAR(13)&amp;CHAR(9)&amp;CHAR(9)&amp;CHAR(9)&amp;"&lt;text&gt;"&amp;AV35&amp;"&lt;/text&gt;"&amp;IF(ISBLANK(AX35),"",CHAR(13)&amp;CHAR(9)&amp;CHAR(9)&amp;CHAR(9)&amp;"&lt;attack&gt;"&amp;AX35&amp;"|"&amp;AY35&amp;"|"&amp;AZ35&amp;"&lt;/attack&gt;")&amp;CHAR(13)&amp;CHAR(9)&amp;CHAR(9)&amp;"&lt;/"&amp;AU35&amp;"&gt;")</f>
        <v>_x000D_		&lt;action&gt;_x000D_			&lt;name&gt;Bite&lt;/name&gt;_x000D_			&lt;text&gt;Melee Weapon Attack: +6 to hit, reach 10 ft., one creature. Hit: 11 (2d6 + 4) piercing damage.&lt;/text&gt;_x000D_			&lt;attack&gt;Bite|6|2d6+4&lt;/attack&gt;_x000D_		&lt;/action&gt;</v>
      </c>
      <c r="G35" s="3" t="str">
        <f>IF(ISBLANK(BA35),"",CHAR(13)&amp;CHAR(9)&amp;CHAR(9)&amp;"&lt;"&amp;BB35&amp;"&gt;"&amp;CHAR(13)&amp;CHAR(9)&amp;CHAR(9)&amp;CHAR(9)&amp;"&lt;name&gt;"&amp;BA35&amp;"&lt;/name&gt;"&amp;CHAR(13)&amp;CHAR(9)&amp;CHAR(9)&amp;CHAR(9)&amp;"&lt;text&gt;"&amp;BC35&amp;"&lt;/text&gt;"&amp;IF(ISBLANK(BE35),"",CHAR(13)&amp;CHAR(9)&amp;CHAR(9)&amp;CHAR(9)&amp;"&lt;attack&gt;"&amp;BE35&amp;"|"&amp;BF35&amp;"|"&amp;BG35&amp;"&lt;/attack&gt;")&amp;CHAR(13)&amp;CHAR(9)&amp;CHAR(9)&amp;"&lt;/"&amp;BB35&amp;"&gt;")</f>
        <v>_x000D_		&lt;action&gt;_x000D_			&lt;name&gt;Constrict&lt;/name&gt;_x000D_			&lt;text&gt;Melee Weapon Attack: +6 to hit, reach 5 ft., one creature. Hit: 13 (2d8 + 4) bludgeoning damage, and the target is grappled (escape DC 16). Until this grapple ends, the creature is restrained, and the snake can't constrict another target.&lt;/text&gt;_x000D_			&lt;attack&gt;Constrict|6|2d8+4&lt;/attack&gt;_x000D_		&lt;/action&gt;</v>
      </c>
      <c r="H35" s="3" t="str">
        <f>IF(ISBLANK(BH35),"",CHAR(13)&amp;CHAR(9)&amp;CHAR(9)&amp;"&lt;"&amp;BI35&amp;"&gt;"&amp;CHAR(13)&amp;CHAR(9)&amp;CHAR(9)&amp;CHAR(9)&amp;"&lt;name&gt;"&amp;BH35&amp;"&lt;/name&gt;"&amp;CHAR(13)&amp;CHAR(9)&amp;CHAR(9)&amp;CHAR(9)&amp;"&lt;text&gt;"&amp;BJ35&amp;"&lt;/text&gt;"&amp;IF(ISBLANK(BL35),"",CHAR(13)&amp;CHAR(9)&amp;CHAR(9)&amp;CHAR(9)&amp;"&lt;attack&gt;"&amp;BL35&amp;"|"&amp;BM35&amp;"|"&amp;BN35&amp;"&lt;/attack&gt;")&amp;CHAR(13)&amp;CHAR(9)&amp;CHAR(9)&amp;"&lt;/"&amp;BI35&amp;"&gt;")</f>
        <v/>
      </c>
      <c r="I35" s="3" t="str">
        <f>IF(ISBLANK(BO35),"",CHAR(13)&amp;CHAR(9)&amp;CHAR(9)&amp;"&lt;"&amp;BP35&amp;"&gt;"&amp;CHAR(13)&amp;CHAR(9)&amp;CHAR(9)&amp;CHAR(9)&amp;"&lt;name&gt;"&amp;BO35&amp;"&lt;/name&gt;"&amp;CHAR(13)&amp;CHAR(9)&amp;CHAR(9)&amp;CHAR(9)&amp;"&lt;text&gt;"&amp;BQ35&amp;"&lt;/text&gt;"&amp;IF(ISBLANK(BS35),"",CHAR(13)&amp;CHAR(9)&amp;CHAR(9)&amp;CHAR(9)&amp;"&lt;attack&gt;"&amp;BS35&amp;"|"&amp;BT35&amp;"|"&amp;BU35&amp;"&lt;/attack&gt;")&amp;CHAR(13)&amp;CHAR(9)&amp;CHAR(9)&amp;"&lt;/"&amp;BP35&amp;"&gt;")</f>
        <v/>
      </c>
      <c r="J35" s="3" t="str">
        <f>IF(ISBLANK(BV35),"",CHAR(13)&amp;CHAR(9)&amp;CHAR(9)&amp;"&lt;"&amp;BW35&amp;"&gt;"&amp;CHAR(13)&amp;CHAR(9)&amp;CHAR(9)&amp;CHAR(9)&amp;"&lt;name&gt;"&amp;BV35&amp;"&lt;/name&gt;"&amp;CHAR(13)&amp;CHAR(9)&amp;CHAR(9)&amp;CHAR(9)&amp;"&lt;text&gt;"&amp;BX35&amp;"&lt;/text&gt;"&amp;IF(ISBLANK(BZ35),"",CHAR(13)&amp;CHAR(9)&amp;CHAR(9)&amp;CHAR(9)&amp;"&lt;attack&gt;"&amp;BZ35&amp;"|"&amp;CA35&amp;"|"&amp;CB35&amp;"&lt;/attack&gt;")&amp;CHAR(13)&amp;CHAR(9)&amp;CHAR(9)&amp;"&lt;/"&amp;BW35&amp;"&gt;")</f>
        <v/>
      </c>
      <c r="K35" s="3" t="str">
        <f>IF(ISBLANK(CC35),"",CHAR(13)&amp;CHAR(9)&amp;CHAR(9)&amp;"&lt;"&amp;CD35&amp;"&gt;"&amp;CHAR(13)&amp;CHAR(9)&amp;CHAR(9)&amp;CHAR(9)&amp;"&lt;name&gt;"&amp;CC35&amp;"&lt;/name&gt;"&amp;CHAR(13)&amp;CHAR(9)&amp;CHAR(9)&amp;CHAR(9)&amp;"&lt;text&gt;"&amp;CE35&amp;"&lt;/text&gt;"&amp;IF(ISBLANK(CG35),"",CHAR(13)&amp;CHAR(9)&amp;CHAR(9)&amp;CHAR(9)&amp;"&lt;attack&gt;"&amp;CG35&amp;"|"&amp;CH35&amp;"|"&amp;CI35&amp;"&lt;/attack&gt;")&amp;CHAR(13)&amp;CHAR(9)&amp;CHAR(9)&amp;"&lt;/"&amp;CD35&amp;"&gt;")</f>
        <v/>
      </c>
      <c r="L35" s="1" t="s">
        <v>79</v>
      </c>
      <c r="M35" s="1" t="s">
        <v>275</v>
      </c>
      <c r="N35" s="1">
        <f>DruidAlignment</f>
        <v>0</v>
      </c>
      <c r="O35" s="2">
        <v>2</v>
      </c>
      <c r="P35" s="1" t="s">
        <v>80</v>
      </c>
      <c r="Q35" s="1">
        <v>12</v>
      </c>
      <c r="R35" s="1"/>
      <c r="S35" s="1">
        <v>60</v>
      </c>
      <c r="T35" s="1">
        <v>30</v>
      </c>
      <c r="X35" s="1">
        <v>30</v>
      </c>
      <c r="Y35" s="1">
        <v>19</v>
      </c>
      <c r="Z35" s="1">
        <v>14</v>
      </c>
      <c r="AA35" s="1">
        <v>12</v>
      </c>
      <c r="AB35" s="10">
        <f>DruidInt</f>
        <v>0</v>
      </c>
      <c r="AC35" s="10">
        <f>DruidWis</f>
        <v>0</v>
      </c>
      <c r="AD35" s="10">
        <f>DruidCha</f>
        <v>0</v>
      </c>
      <c r="AE35" s="12"/>
      <c r="AF35" s="12">
        <v>3</v>
      </c>
      <c r="AG35" s="12"/>
      <c r="AH35" s="12" t="s">
        <v>173</v>
      </c>
      <c r="AI35" s="12" t="str">
        <f>IF(ISBLANK(DruidAcrobatics),"",", Acrobatics +"&amp;DruidAcrobatics)&amp;IF(ISBLANK(DruidAnimalHandling),"",", Animal Handling +"&amp;DruidAnimalHandling)&amp;IF(ISBLANK(DruidArcana),"",", Arcana +"&amp;DruidArcana)&amp;IF(DruidAthletics+AE35=0,"",", Athletics +"&amp;MAX(DruidAthletics,AE35))&amp;IF(ISBLANK(DruidDeception),"",",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+"&amp;DruidNature)&amp;IF(DruidPerception+AF35=0,"",", Perception +"&amp;MAX(DruidPerception,AF35))&amp;IF(ISBLANK(DruidPerformance),"",", Performance +"&amp;DruidPerformance)&amp;IF(ISBLANK(DruidPersuasion),"",", Persuasion +"&amp;DruidPersuasion)&amp;IF(ISBLANK(DruidReligion),"",", Religion +"&amp;DruidReligion)&amp;IF(ISBLANK(DruidSleightofHand),"",", Sleight of Hand +"&amp;DruidSleightofHand)&amp;IF(DruidStealth+AG35=0,"",", Stealth +"&amp;MAX(DruidStealth,AG35))&amp;IF(ISBLANK(DruidSurvival),"",", Survival +"&amp;DruidSurvival)</f>
        <v>, Perception +3</v>
      </c>
      <c r="AJ35" s="1" t="str">
        <f>RIGHT(AI35,LEN(AI35)-2)</f>
        <v>Perception +3</v>
      </c>
      <c r="AK3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5" s="1" t="s">
        <v>173</v>
      </c>
      <c r="AM35" s="1" t="s">
        <v>180</v>
      </c>
      <c r="AN35" s="3">
        <f>IF(DruidPerception+AF35=0,10+(ROUNDDOWN((AC35-10)/2,0)),10+MAX(DruidPerception,AF35))</f>
        <v>13</v>
      </c>
      <c r="AO35" s="1"/>
      <c r="AP35" s="1"/>
      <c r="AQ35" s="1"/>
      <c r="AR35" s="1"/>
      <c r="AS35" s="1"/>
      <c r="AT35" s="3" t="s">
        <v>161</v>
      </c>
      <c r="AU35" s="3" t="s">
        <v>150</v>
      </c>
      <c r="AV35" s="3" t="s">
        <v>287</v>
      </c>
      <c r="AW35" s="3" t="s">
        <v>173</v>
      </c>
      <c r="AX35" s="3" t="s">
        <v>161</v>
      </c>
      <c r="AY35" s="3">
        <v>6</v>
      </c>
      <c r="AZ35" s="3" t="s">
        <v>228</v>
      </c>
      <c r="BA35" s="3" t="s">
        <v>233</v>
      </c>
      <c r="BB35" s="3" t="s">
        <v>150</v>
      </c>
      <c r="BC35" s="3" t="s">
        <v>505</v>
      </c>
      <c r="BD35" s="3" t="s">
        <v>173</v>
      </c>
      <c r="BE35" s="3" t="s">
        <v>233</v>
      </c>
      <c r="BF35" s="3">
        <v>6</v>
      </c>
      <c r="BG35" s="3" t="s">
        <v>202</v>
      </c>
      <c r="BK35" s="3" t="s">
        <v>173</v>
      </c>
      <c r="BN35" s="3"/>
      <c r="BR35" s="3" t="s">
        <v>173</v>
      </c>
      <c r="BY35" s="3" t="s">
        <v>173</v>
      </c>
      <c r="CJ35" s="6">
        <v>2</v>
      </c>
      <c r="CK35" s="6">
        <f>IF(CJ35&lt;0.26,2,IF(CJ35&lt;0.51,4,IF(CJ35&lt;1.1,8,99)))</f>
        <v>99</v>
      </c>
      <c r="CL35" s="3">
        <f>IF(M35="Elemental",10,IF(CJ35&lt;2,2,CJ35*3))</f>
        <v>6</v>
      </c>
      <c r="CM35" s="3">
        <f>IF(W35&gt;0,8,0)</f>
        <v>0</v>
      </c>
      <c r="CN35" s="3">
        <f>IF(X35&gt;0,4,0)</f>
        <v>4</v>
      </c>
    </row>
    <row r="36" spans="1:92">
      <c r="A36" s="3" t="str">
        <f>IF(DruidLevel&lt;B36,"",CHAR(9)&amp;"&lt;monster&gt;"&amp;CHAR(13)&amp;CHAR(9)&amp;CHAR(9)&amp;"&lt;name&gt;"&amp;L36&amp;" (Wild Shape)&lt;/name&gt;"&amp;CHAR(13)&amp;CHAR(9)&amp;CHAR(9)&amp;"&lt;size&gt;"&amp;LEFT(P36,1)&amp;"&lt;/size&gt;"&amp;CHAR(13)&amp;CHAR(9)&amp;CHAR(9)&amp;"&lt;type&gt;"&amp;M36&amp;"&lt;/type&gt;"&amp;CHAR(13)&amp;CHAR(9)&amp;CHAR(9)&amp;"&lt;alignment&gt;"&amp;N36&amp;"&lt;/alignment&gt;"&amp;CHAR(13)&amp;CHAR(9)&amp;CHAR(9)&amp;"&lt;ac&gt;"&amp;Q36&amp;IF(ISBLANK(R36),""," ("&amp;R36&amp;")")&amp;"&lt;/ac&gt;"&amp;CHAR(13)&amp;CHAR(9)&amp;CHAR(9)&amp;"&lt;hp&gt;"&amp;S36&amp;"&lt;/hp&gt;"&amp;CHAR(13)&amp;CHAR(9)&amp;CHAR(9)&amp;"&lt;speed&gt;"&amp;E36&amp;"&lt;/speed&gt;"&amp;CHAR(13)&amp;CHAR(9)&amp;CHAR(9)&amp;"&lt;str&gt;"&amp;Y36&amp;"&lt;/str&gt;&lt;dex&gt;"&amp;Z36&amp;"&lt;/dex&gt;&lt;con&gt;"&amp;AA36&amp;"&lt;/con&gt;&lt;int&gt;"&amp;AB36&amp;"&lt;/int&gt;&lt;wis&gt;"&amp;AC36&amp;"&lt;/wis&gt;&lt;cha&gt;"&amp;AD36&amp;"&lt;/cha&gt;"&amp;CHAR(13)&amp;CHAR(9)&amp;CHAR(9)&amp;"&lt;save&gt;"&amp;AK36&amp;"&lt;/save&gt;"&amp;CHAR(13)&amp;CHAR(9)&amp;CHAR(9)&amp;"&lt;skill&gt;"&amp;AJ36&amp;"&lt;/skill&gt;"&amp;CHAR(13)&amp;CHAR(9)&amp;CHAR(9)&amp;"&lt;vulnerable&gt;"&amp;AO36&amp;"&lt;/vulnerable&gt;"&amp;CHAR(13)&amp;CHAR(9)&amp;CHAR(9)&amp;"&lt;resist&gt;"&amp;AP36&amp;"&lt;/resist&gt;"&amp;CHAR(13)&amp;CHAR(9)&amp;CHAR(9)&amp;"&lt;immune&gt;"&amp;AQ36&amp;"&lt;/immune&gt;"&amp;CHAR(13)&amp;CHAR(9)&amp;CHAR(9)&amp;"&lt;conditionImmune&gt;"&amp;AR36&amp;"&lt;/conditionImmune&gt;"&amp;CHAR(13)&amp;CHAR(9)&amp;CHAR(9)&amp;"&lt;senses&gt;"&amp;AM36&amp;"&lt;/senses&gt;"&amp;CHAR(13)&amp;CHAR(9)&amp;CHAR(9)&amp;"&lt;passive&gt;"&amp;AN36&amp;"&lt;/passive&gt;"&amp;CHAR(13)&amp;CHAR(9)&amp;CHAR(9)&amp;"&lt;languages&gt;"&amp;AS36&amp;"&lt;/languages&gt;"&amp;CHAR(13)&amp;CHAR(9)&amp;CHAR(9)&amp;"&lt;cr&gt;"&amp;O36&amp;"&lt;/cr&gt;"&amp;F36&amp;G36&amp;H36&amp;I36&amp;J36&amp;K36&amp;IF(C36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6" s="3">
        <f>IF(COTM=TRUE,MAX(CL36,CM36,CN36),MAX(CK36,CM36,CN36))</f>
        <v>4</v>
      </c>
      <c r="C36" s="11" t="str">
        <f>IF(COTM=FALSE,"",IF(DruidLevel&gt;5,"Y",""))</f>
        <v/>
      </c>
      <c r="D36" s="3" t="s">
        <v>173</v>
      </c>
      <c r="E36" s="3" t="str">
        <f>T36&amp;" ft."&amp;IF(U36+V36+W36+X36=0,"",", ")&amp;IF(ISBLANK(U36),"","burrow "&amp;U36&amp;" ft."&amp;IF(V36+W36+X36=0,"",", "))&amp;IF(ISBLANK(V36),"","climb "&amp;V36&amp;" ft."&amp;IF(W36+X36=0,"",", "))&amp;IF(ISBLANK(W36),"","fly "&amp;W36&amp;" ft."&amp;IF(X36=0,"",", "))&amp;IF(ISBLANK(X36),"","swim "&amp;X36&amp;" ft.")</f>
        <v>30 ft., swim 30 ft.</v>
      </c>
      <c r="F36" s="3" t="str">
        <f>IF(ISBLANK(AT36),"",CHAR(13)&amp;CHAR(9)&amp;CHAR(9)&amp;"&lt;"&amp;AU36&amp;"&gt;"&amp;CHAR(13)&amp;CHAR(9)&amp;CHAR(9)&amp;CHAR(9)&amp;"&lt;name&gt;"&amp;AT36&amp;"&lt;/name&gt;"&amp;CHAR(13)&amp;CHAR(9)&amp;CHAR(9)&amp;CHAR(9)&amp;"&lt;text&gt;"&amp;AV36&amp;"&lt;/text&gt;"&amp;IF(ISBLANK(AX36),"",CHAR(13)&amp;CHAR(9)&amp;CHAR(9)&amp;CHAR(9)&amp;"&lt;attack&gt;"&amp;AX36&amp;"|"&amp;AY36&amp;"|"&amp;AZ36&amp;"&lt;/attack&gt;")&amp;CHAR(13)&amp;CHAR(9)&amp;CHAR(9)&amp;"&lt;/"&amp;AU36&amp;"&gt;")</f>
        <v>_x000D_		&lt;trait&gt;_x000D_			&lt;name&gt;Amphibious&lt;/name&gt;_x000D_			&lt;text&gt;The crab can breathe air and water.&lt;/text&gt;_x000D_		&lt;/trait&gt;</v>
      </c>
      <c r="G36" s="3" t="str">
        <f>IF(ISBLANK(BA36),"",CHAR(13)&amp;CHAR(9)&amp;CHAR(9)&amp;"&lt;"&amp;BB36&amp;"&gt;"&amp;CHAR(13)&amp;CHAR(9)&amp;CHAR(9)&amp;CHAR(9)&amp;"&lt;name&gt;"&amp;BA36&amp;"&lt;/name&gt;"&amp;CHAR(13)&amp;CHAR(9)&amp;CHAR(9)&amp;CHAR(9)&amp;"&lt;text&gt;"&amp;BC36&amp;"&lt;/text&gt;"&amp;IF(ISBLANK(BE36),"",CHAR(13)&amp;CHAR(9)&amp;CHAR(9)&amp;CHAR(9)&amp;"&lt;attack&gt;"&amp;BE36&amp;"|"&amp;BF36&amp;"|"&amp;BG36&amp;"&lt;/attack&gt;")&amp;CHAR(13)&amp;CHAR(9)&amp;CHAR(9)&amp;"&lt;/"&amp;BB36&amp;"&gt;")</f>
        <v>_x000D_		&lt;action&gt;_x000D_			&lt;name&gt;Claw&lt;/name&gt;_x000D_			&lt;text&gt;Melee Weapon Attack: +3 to hit, reach 5 ft., one target. Hit: 4 (1d6+1) bludgeoning damage, and the target is grappled (escape DC 11). The crab has two claws, each of which can grapple only one target.&lt;/text&gt;_x000D_			&lt;attack&gt;Claw|3|1d6+1&lt;/attack&gt;_x000D_		&lt;/action&gt;</v>
      </c>
      <c r="H36" s="3" t="str">
        <f>IF(ISBLANK(BH36),"",CHAR(13)&amp;CHAR(9)&amp;CHAR(9)&amp;"&lt;"&amp;BI36&amp;"&gt;"&amp;CHAR(13)&amp;CHAR(9)&amp;CHAR(9)&amp;CHAR(9)&amp;"&lt;name&gt;"&amp;BH36&amp;"&lt;/name&gt;"&amp;CHAR(13)&amp;CHAR(9)&amp;CHAR(9)&amp;CHAR(9)&amp;"&lt;text&gt;"&amp;BJ36&amp;"&lt;/text&gt;"&amp;IF(ISBLANK(BL36),"",CHAR(13)&amp;CHAR(9)&amp;CHAR(9)&amp;CHAR(9)&amp;"&lt;attack&gt;"&amp;BL36&amp;"|"&amp;BM36&amp;"|"&amp;BN36&amp;"&lt;/attack&gt;")&amp;CHAR(13)&amp;CHAR(9)&amp;CHAR(9)&amp;"&lt;/"&amp;BI36&amp;"&gt;")</f>
        <v/>
      </c>
      <c r="I36" s="3" t="str">
        <f>IF(ISBLANK(BO36),"",CHAR(13)&amp;CHAR(9)&amp;CHAR(9)&amp;"&lt;"&amp;BP36&amp;"&gt;"&amp;CHAR(13)&amp;CHAR(9)&amp;CHAR(9)&amp;CHAR(9)&amp;"&lt;name&gt;"&amp;BO36&amp;"&lt;/name&gt;"&amp;CHAR(13)&amp;CHAR(9)&amp;CHAR(9)&amp;CHAR(9)&amp;"&lt;text&gt;"&amp;BQ36&amp;"&lt;/text&gt;"&amp;IF(ISBLANK(BS36),"",CHAR(13)&amp;CHAR(9)&amp;CHAR(9)&amp;CHAR(9)&amp;"&lt;attack&gt;"&amp;BS36&amp;"|"&amp;BT36&amp;"|"&amp;BU36&amp;"&lt;/attack&gt;")&amp;CHAR(13)&amp;CHAR(9)&amp;CHAR(9)&amp;"&lt;/"&amp;BP36&amp;"&gt;")</f>
        <v/>
      </c>
      <c r="J36" s="3" t="str">
        <f>IF(ISBLANK(BV36),"",CHAR(13)&amp;CHAR(9)&amp;CHAR(9)&amp;"&lt;"&amp;BW36&amp;"&gt;"&amp;CHAR(13)&amp;CHAR(9)&amp;CHAR(9)&amp;CHAR(9)&amp;"&lt;name&gt;"&amp;BV36&amp;"&lt;/name&gt;"&amp;CHAR(13)&amp;CHAR(9)&amp;CHAR(9)&amp;CHAR(9)&amp;"&lt;text&gt;"&amp;BX36&amp;"&lt;/text&gt;"&amp;IF(ISBLANK(BZ36),"",CHAR(13)&amp;CHAR(9)&amp;CHAR(9)&amp;CHAR(9)&amp;"&lt;attack&gt;"&amp;BZ36&amp;"|"&amp;CA36&amp;"|"&amp;CB36&amp;"&lt;/attack&gt;")&amp;CHAR(13)&amp;CHAR(9)&amp;CHAR(9)&amp;"&lt;/"&amp;BW36&amp;"&gt;")</f>
        <v/>
      </c>
      <c r="K36" s="3" t="str">
        <f>IF(ISBLANK(CC36),"",CHAR(13)&amp;CHAR(9)&amp;CHAR(9)&amp;"&lt;"&amp;CD36&amp;"&gt;"&amp;CHAR(13)&amp;CHAR(9)&amp;CHAR(9)&amp;CHAR(9)&amp;"&lt;name&gt;"&amp;CC36&amp;"&lt;/name&gt;"&amp;CHAR(13)&amp;CHAR(9)&amp;CHAR(9)&amp;CHAR(9)&amp;"&lt;text&gt;"&amp;CE36&amp;"&lt;/text&gt;"&amp;IF(ISBLANK(CG36),"",CHAR(13)&amp;CHAR(9)&amp;CHAR(9)&amp;CHAR(9)&amp;"&lt;attack&gt;"&amp;CG36&amp;"|"&amp;CH36&amp;"|"&amp;CI36&amp;"&lt;/attack&gt;")&amp;CHAR(13)&amp;CHAR(9)&amp;CHAR(9)&amp;"&lt;/"&amp;CD36&amp;"&gt;")</f>
        <v/>
      </c>
      <c r="L36" s="1" t="s">
        <v>65</v>
      </c>
      <c r="M36" s="1" t="s">
        <v>275</v>
      </c>
      <c r="N36" s="1">
        <f>DruidAlignment</f>
        <v>0</v>
      </c>
      <c r="O36" s="5" t="s">
        <v>207</v>
      </c>
      <c r="P36" s="1" t="s">
        <v>17</v>
      </c>
      <c r="Q36" s="1">
        <v>15</v>
      </c>
      <c r="R36" s="1" t="s">
        <v>405</v>
      </c>
      <c r="S36" s="1">
        <v>13</v>
      </c>
      <c r="T36" s="1">
        <v>30</v>
      </c>
      <c r="X36" s="1">
        <v>30</v>
      </c>
      <c r="Y36" s="1">
        <v>13</v>
      </c>
      <c r="Z36" s="1">
        <v>15</v>
      </c>
      <c r="AA36" s="1">
        <v>11</v>
      </c>
      <c r="AB36" s="10">
        <f>DruidInt</f>
        <v>0</v>
      </c>
      <c r="AC36" s="10">
        <f>DruidWis</f>
        <v>0</v>
      </c>
      <c r="AD36" s="10">
        <f>DruidCha</f>
        <v>0</v>
      </c>
      <c r="AE36" s="12"/>
      <c r="AF36" s="12"/>
      <c r="AG36" s="12">
        <v>4</v>
      </c>
      <c r="AH36" s="12" t="s">
        <v>173</v>
      </c>
      <c r="AI36" s="12" t="str">
        <f>IF(ISBLANK(DruidAcrobatics),"",", Acrobatics +"&amp;DruidAcrobatics)&amp;IF(ISBLANK(DruidAnimalHandling),"",", Animal Handling +"&amp;DruidAnimalHandling)&amp;IF(ISBLANK(DruidArcana),"",", Arcana +"&amp;DruidArcana)&amp;IF(DruidAthletics+AE36=0,"",", Athletics +"&amp;MAX(DruidAthletics,AE36))&amp;IF(ISBLANK(DruidDeception),"",",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+"&amp;DruidNature)&amp;IF(DruidPerception+AF36=0,"",", Perception +"&amp;MAX(DruidPerception,AF36))&amp;IF(ISBLANK(DruidPerformance),"",", Performance +"&amp;DruidPerformance)&amp;IF(ISBLANK(DruidPersuasion),"",", Persuasion +"&amp;DruidPersuasion)&amp;IF(ISBLANK(DruidReligion),"",", Religion +"&amp;DruidReligion)&amp;IF(ISBLANK(DruidSleightofHand),"",", Sleight of Hand +"&amp;DruidSleightofHand)&amp;IF(DruidStealth+AG36=0,"",", Stealth +"&amp;MAX(DruidStealth,AG36))&amp;IF(ISBLANK(DruidSurvival),"",", Survival +"&amp;DruidSurvival)</f>
        <v>, Stealth +4</v>
      </c>
      <c r="AJ36" s="1" t="str">
        <f>RIGHT(AI36,LEN(AI36)-2)</f>
        <v>Stealth +4</v>
      </c>
      <c r="AK3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6" s="1" t="s">
        <v>173</v>
      </c>
      <c r="AM36" s="1" t="s">
        <v>181</v>
      </c>
      <c r="AN36" s="3">
        <f>IF(DruidPerception+AF36=0,10+(ROUNDDOWN((AC36-10)/2,0)),10+MAX(DruidPerception,AF36))</f>
        <v>5</v>
      </c>
      <c r="AO36" s="1"/>
      <c r="AP36" s="1"/>
      <c r="AQ36" s="1"/>
      <c r="AR36" s="1"/>
      <c r="AS36" s="1"/>
      <c r="AT36" s="3" t="s">
        <v>59</v>
      </c>
      <c r="AU36" s="3" t="s">
        <v>148</v>
      </c>
      <c r="AV36" s="3" t="s">
        <v>234</v>
      </c>
      <c r="AW36" s="3" t="s">
        <v>173</v>
      </c>
      <c r="AZ36" s="3"/>
      <c r="BA36" s="3" t="s">
        <v>164</v>
      </c>
      <c r="BB36" s="3" t="s">
        <v>150</v>
      </c>
      <c r="BC36" s="3" t="s">
        <v>450</v>
      </c>
      <c r="BD36" s="3" t="s">
        <v>173</v>
      </c>
      <c r="BE36" s="3" t="s">
        <v>164</v>
      </c>
      <c r="BF36" s="3">
        <v>3</v>
      </c>
      <c r="BG36" s="3" t="s">
        <v>227</v>
      </c>
      <c r="BK36" s="3" t="s">
        <v>173</v>
      </c>
      <c r="BN36" s="3"/>
      <c r="BR36" s="3" t="s">
        <v>173</v>
      </c>
      <c r="BY36" s="3" t="s">
        <v>173</v>
      </c>
      <c r="CJ36" s="6">
        <v>0.125</v>
      </c>
      <c r="CK36" s="6">
        <f>IF(CJ36&lt;0.26,2,IF(CJ36&lt;0.51,4,IF(CJ36&lt;1.1,8,99)))</f>
        <v>2</v>
      </c>
      <c r="CL36" s="3">
        <f>IF(M36="Elemental",10,IF(CJ36&lt;2,2,CJ36*3))</f>
        <v>2</v>
      </c>
      <c r="CM36" s="3">
        <f>IF(W36&gt;0,8,0)</f>
        <v>0</v>
      </c>
      <c r="CN36" s="3">
        <f>IF(X36&gt;0,4,0)</f>
        <v>4</v>
      </c>
    </row>
    <row r="37" spans="1:92">
      <c r="A37" s="3" t="str">
        <f>IF(DruidLevel&lt;B37,"",CHAR(9)&amp;"&lt;monster&gt;"&amp;CHAR(13)&amp;CHAR(9)&amp;CHAR(9)&amp;"&lt;name&gt;"&amp;L37&amp;" (Wild Shape)&lt;/name&gt;"&amp;CHAR(13)&amp;CHAR(9)&amp;CHAR(9)&amp;"&lt;size&gt;"&amp;LEFT(P37,1)&amp;"&lt;/size&gt;"&amp;CHAR(13)&amp;CHAR(9)&amp;CHAR(9)&amp;"&lt;type&gt;"&amp;M37&amp;"&lt;/type&gt;"&amp;CHAR(13)&amp;CHAR(9)&amp;CHAR(9)&amp;"&lt;alignment&gt;"&amp;N37&amp;"&lt;/alignment&gt;"&amp;CHAR(13)&amp;CHAR(9)&amp;CHAR(9)&amp;"&lt;ac&gt;"&amp;Q37&amp;IF(ISBLANK(R37),""," ("&amp;R37&amp;")")&amp;"&lt;/ac&gt;"&amp;CHAR(13)&amp;CHAR(9)&amp;CHAR(9)&amp;"&lt;hp&gt;"&amp;S37&amp;"&lt;/hp&gt;"&amp;CHAR(13)&amp;CHAR(9)&amp;CHAR(9)&amp;"&lt;speed&gt;"&amp;E37&amp;"&lt;/speed&gt;"&amp;CHAR(13)&amp;CHAR(9)&amp;CHAR(9)&amp;"&lt;str&gt;"&amp;Y37&amp;"&lt;/str&gt;&lt;dex&gt;"&amp;Z37&amp;"&lt;/dex&gt;&lt;con&gt;"&amp;AA37&amp;"&lt;/con&gt;&lt;int&gt;"&amp;AB37&amp;"&lt;/int&gt;&lt;wis&gt;"&amp;AC37&amp;"&lt;/wis&gt;&lt;cha&gt;"&amp;AD37&amp;"&lt;/cha&gt;"&amp;CHAR(13)&amp;CHAR(9)&amp;CHAR(9)&amp;"&lt;save&gt;"&amp;AK37&amp;"&lt;/save&gt;"&amp;CHAR(13)&amp;CHAR(9)&amp;CHAR(9)&amp;"&lt;skill&gt;"&amp;AJ37&amp;"&lt;/skill&gt;"&amp;CHAR(13)&amp;CHAR(9)&amp;CHAR(9)&amp;"&lt;vulnerable&gt;"&amp;AO37&amp;"&lt;/vulnerable&gt;"&amp;CHAR(13)&amp;CHAR(9)&amp;CHAR(9)&amp;"&lt;resist&gt;"&amp;AP37&amp;"&lt;/resist&gt;"&amp;CHAR(13)&amp;CHAR(9)&amp;CHAR(9)&amp;"&lt;immune&gt;"&amp;AQ37&amp;"&lt;/immune&gt;"&amp;CHAR(13)&amp;CHAR(9)&amp;CHAR(9)&amp;"&lt;conditionImmune&gt;"&amp;AR37&amp;"&lt;/conditionImmune&gt;"&amp;CHAR(13)&amp;CHAR(9)&amp;CHAR(9)&amp;"&lt;senses&gt;"&amp;AM37&amp;"&lt;/senses&gt;"&amp;CHAR(13)&amp;CHAR(9)&amp;CHAR(9)&amp;"&lt;passive&gt;"&amp;AN37&amp;"&lt;/passive&gt;"&amp;CHAR(13)&amp;CHAR(9)&amp;CHAR(9)&amp;"&lt;languages&gt;"&amp;AS37&amp;"&lt;/languages&gt;"&amp;CHAR(13)&amp;CHAR(9)&amp;CHAR(9)&amp;"&lt;cr&gt;"&amp;O37&amp;"&lt;/cr&gt;"&amp;F37&amp;G37&amp;H37&amp;I37&amp;J37&amp;K37&amp;IF(C37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7" s="3">
        <f>IF(COTM=TRUE,MAX(CL37,CM37,CN37),MAX(CK37,CM37,CN37))</f>
        <v>99</v>
      </c>
      <c r="C37" s="11" t="str">
        <f>IF(COTM=FALSE,"",IF(DruidLevel&gt;5,"Y",""))</f>
        <v/>
      </c>
      <c r="D37" s="3" t="s">
        <v>173</v>
      </c>
      <c r="E37" s="3" t="str">
        <f>T37&amp;" ft."&amp;IF(U37+V37+W37+X37=0,"",", ")&amp;IF(ISBLANK(U37),"","burrow "&amp;U37&amp;" ft."&amp;IF(V37+W37+X37=0,"",", "))&amp;IF(ISBLANK(V37),"","climb "&amp;V37&amp;" ft."&amp;IF(W37+X37=0,"",", "))&amp;IF(ISBLANK(W37),"","fly "&amp;W37&amp;" ft."&amp;IF(X37=0,"",", "))&amp;IF(ISBLANK(X37),"","swim "&amp;X37&amp;" ft.")</f>
        <v>30 ft., swim 50 ft.</v>
      </c>
      <c r="F37" s="3" t="str">
        <f>IF(ISBLANK(AT37),"",CHAR(13)&amp;CHAR(9)&amp;CHAR(9)&amp;"&lt;"&amp;AU37&amp;"&gt;"&amp;CHAR(13)&amp;CHAR(9)&amp;CHAR(9)&amp;CHAR(9)&amp;"&lt;name&gt;"&amp;AT37&amp;"&lt;/name&gt;"&amp;CHAR(13)&amp;CHAR(9)&amp;CHAR(9)&amp;CHAR(9)&amp;"&lt;text&gt;"&amp;AV37&amp;"&lt;/text&gt;"&amp;IF(ISBLANK(AX37),"",CHAR(13)&amp;CHAR(9)&amp;CHAR(9)&amp;CHAR(9)&amp;"&lt;attack&gt;"&amp;AX37&amp;"|"&amp;AY37&amp;"|"&amp;AZ37&amp;"&lt;/attack&gt;")&amp;CHAR(13)&amp;CHAR(9)&amp;CHAR(9)&amp;"&lt;/"&amp;AU37&amp;"&gt;")</f>
        <v>_x000D_		&lt;trait&gt;_x000D_			&lt;name&gt;Hold Breath&lt;/name&gt;_x000D_			&lt;text&gt;The crocodile can hold its breath for 30 minutes.&lt;/text&gt;_x000D_		&lt;/trait&gt;</v>
      </c>
      <c r="G37" s="3" t="str">
        <f>IF(ISBLANK(BA37),"",CHAR(13)&amp;CHAR(9)&amp;CHAR(9)&amp;"&lt;"&amp;BB37&amp;"&gt;"&amp;CHAR(13)&amp;CHAR(9)&amp;CHAR(9)&amp;CHAR(9)&amp;"&lt;name&gt;"&amp;BA37&amp;"&lt;/name&gt;"&amp;CHAR(13)&amp;CHAR(9)&amp;CHAR(9)&amp;CHAR(9)&amp;"&lt;text&gt;"&amp;BC37&amp;"&lt;/text&gt;"&amp;IF(ISBLANK(BE37),"",CHAR(13)&amp;CHAR(9)&amp;CHAR(9)&amp;CHAR(9)&amp;"&lt;attack&gt;"&amp;BE37&amp;"|"&amp;BF37&amp;"|"&amp;BG37&amp;"&lt;/attack&gt;")&amp;CHAR(13)&amp;CHAR(9)&amp;CHAR(9)&amp;"&lt;/"&amp;BB37&amp;"&gt;")</f>
        <v>_x000D_		&lt;action&gt;_x000D_			&lt;name&gt;Multiattack&lt;/name&gt;_x000D_			&lt;text&gt;The crocodile makes two attacks: one with its bite and one with its tail.&lt;/text&gt;_x000D_		&lt;/action&gt;</v>
      </c>
      <c r="H37" s="3" t="str">
        <f>IF(ISBLANK(BH37),"",CHAR(13)&amp;CHAR(9)&amp;CHAR(9)&amp;"&lt;"&amp;BI37&amp;"&gt;"&amp;CHAR(13)&amp;CHAR(9)&amp;CHAR(9)&amp;CHAR(9)&amp;"&lt;name&gt;"&amp;BH37&amp;"&lt;/name&gt;"&amp;CHAR(13)&amp;CHAR(9)&amp;CHAR(9)&amp;CHAR(9)&amp;"&lt;text&gt;"&amp;BJ37&amp;"&lt;/text&gt;"&amp;IF(ISBLANK(BL37),"",CHAR(13)&amp;CHAR(9)&amp;CHAR(9)&amp;CHAR(9)&amp;"&lt;attack&gt;"&amp;BL37&amp;"|"&amp;BM37&amp;"|"&amp;BN37&amp;"&lt;/attack&gt;")&amp;CHAR(13)&amp;CHAR(9)&amp;CHAR(9)&amp;"&lt;/"&amp;BI37&amp;"&gt;")</f>
        <v>_x000D_		&lt;action&gt;_x000D_			&lt;name&gt;Bite&lt;/name&gt;_x000D_			&lt;text&gt;Melee Weapon Attack: +8 to hit, reach 5 ft., one target. Hit: 21 (3d10 + 5) piercing damage, and the target is grappled (escape DC 16). Until this grapple ends, the target is restrained, and the crocodile can't bite another target.&lt;/text&gt;_x000D_			&lt;attack&gt;Bite|8|3d10+5&lt;/attack&gt;_x000D_		&lt;/action&gt;</v>
      </c>
      <c r="I37" s="3" t="str">
        <f>IF(ISBLANK(BO37),"",CHAR(13)&amp;CHAR(9)&amp;CHAR(9)&amp;"&lt;"&amp;BP37&amp;"&gt;"&amp;CHAR(13)&amp;CHAR(9)&amp;CHAR(9)&amp;CHAR(9)&amp;"&lt;name&gt;"&amp;BO37&amp;"&lt;/name&gt;"&amp;CHAR(13)&amp;CHAR(9)&amp;CHAR(9)&amp;CHAR(9)&amp;"&lt;text&gt;"&amp;BQ37&amp;"&lt;/text&gt;"&amp;IF(ISBLANK(BS37),"",CHAR(13)&amp;CHAR(9)&amp;CHAR(9)&amp;CHAR(9)&amp;"&lt;attack&gt;"&amp;BS37&amp;"|"&amp;BT37&amp;"|"&amp;BU37&amp;"&lt;/attack&gt;")&amp;CHAR(13)&amp;CHAR(9)&amp;CHAR(9)&amp;"&lt;/"&amp;BP37&amp;"&gt;")</f>
        <v>_x000D_		&lt;action&gt;_x000D_			&lt;name&gt;Tail&lt;/name&gt;_x000D_			&lt;text&gt;Melee Weapon Attack: +8 to hit, reach 10 ft., one target not grappled by the crocodile. Hit: 14 (2d8 + 5) bludgeoning damage. If the target is a creature, it must succeed on a DC 16 Strength saving throw or be knocked prone.&lt;/text&gt;_x000D_			&lt;attack&gt;Tail|8|2d8+5&lt;/attack&gt;_x000D_		&lt;/action&gt;</v>
      </c>
      <c r="J37" s="3" t="str">
        <f>IF(ISBLANK(BV37),"",CHAR(13)&amp;CHAR(9)&amp;CHAR(9)&amp;"&lt;"&amp;BW37&amp;"&gt;"&amp;CHAR(13)&amp;CHAR(9)&amp;CHAR(9)&amp;CHAR(9)&amp;"&lt;name&gt;"&amp;BV37&amp;"&lt;/name&gt;"&amp;CHAR(13)&amp;CHAR(9)&amp;CHAR(9)&amp;CHAR(9)&amp;"&lt;text&gt;"&amp;BX37&amp;"&lt;/text&gt;"&amp;IF(ISBLANK(BZ37),"",CHAR(13)&amp;CHAR(9)&amp;CHAR(9)&amp;CHAR(9)&amp;"&lt;attack&gt;"&amp;BZ37&amp;"|"&amp;CA37&amp;"|"&amp;CB37&amp;"&lt;/attack&gt;")&amp;CHAR(13)&amp;CHAR(9)&amp;CHAR(9)&amp;"&lt;/"&amp;BW37&amp;"&gt;")</f>
        <v/>
      </c>
      <c r="K37" s="3" t="str">
        <f>IF(ISBLANK(CC37),"",CHAR(13)&amp;CHAR(9)&amp;CHAR(9)&amp;"&lt;"&amp;CD37&amp;"&gt;"&amp;CHAR(13)&amp;CHAR(9)&amp;CHAR(9)&amp;CHAR(9)&amp;"&lt;name&gt;"&amp;CC37&amp;"&lt;/name&gt;"&amp;CHAR(13)&amp;CHAR(9)&amp;CHAR(9)&amp;CHAR(9)&amp;"&lt;text&gt;"&amp;CE37&amp;"&lt;/text&gt;"&amp;IF(ISBLANK(CG37),"",CHAR(13)&amp;CHAR(9)&amp;CHAR(9)&amp;CHAR(9)&amp;"&lt;attack&gt;"&amp;CG37&amp;"|"&amp;CH37&amp;"|"&amp;CI37&amp;"&lt;/attack&gt;")&amp;CHAR(13)&amp;CHAR(9)&amp;CHAR(9)&amp;"&lt;/"&amp;CD37&amp;"&gt;")</f>
        <v/>
      </c>
      <c r="L37" s="1" t="s">
        <v>104</v>
      </c>
      <c r="M37" s="1" t="s">
        <v>275</v>
      </c>
      <c r="N37" s="1">
        <f>DruidAlignment</f>
        <v>0</v>
      </c>
      <c r="O37" s="2">
        <v>5</v>
      </c>
      <c r="P37" s="1" t="s">
        <v>80</v>
      </c>
      <c r="Q37" s="1">
        <v>14</v>
      </c>
      <c r="R37" s="1" t="s">
        <v>405</v>
      </c>
      <c r="S37" s="1">
        <v>85</v>
      </c>
      <c r="T37" s="1">
        <v>30</v>
      </c>
      <c r="X37" s="1">
        <v>50</v>
      </c>
      <c r="Y37" s="1">
        <v>21</v>
      </c>
      <c r="Z37" s="1">
        <v>9</v>
      </c>
      <c r="AA37" s="1">
        <v>17</v>
      </c>
      <c r="AB37" s="10">
        <f>DruidInt</f>
        <v>0</v>
      </c>
      <c r="AC37" s="10">
        <f>DruidWis</f>
        <v>0</v>
      </c>
      <c r="AD37" s="10">
        <f>DruidCha</f>
        <v>0</v>
      </c>
      <c r="AE37" s="12"/>
      <c r="AF37" s="12">
        <v>3</v>
      </c>
      <c r="AG37" s="12">
        <v>5</v>
      </c>
      <c r="AH37" s="12" t="s">
        <v>173</v>
      </c>
      <c r="AI37" s="12" t="str">
        <f>IF(ISBLANK(DruidAcrobatics),"",", Acrobatics +"&amp;DruidAcrobatics)&amp;IF(ISBLANK(DruidAnimalHandling),"",", Animal Handling +"&amp;DruidAnimalHandling)&amp;IF(ISBLANK(DruidArcana),"",", Arcana +"&amp;DruidArcana)&amp;IF(DruidAthletics+AE37=0,"",", Athletics +"&amp;MAX(DruidAthletics,AE37))&amp;IF(ISBLANK(DruidDeception),"",",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+"&amp;DruidNature)&amp;IF(DruidPerception+AF37=0,"",", Perception +"&amp;MAX(DruidPerception,AF37))&amp;IF(ISBLANK(DruidPerformance),"",", Performance +"&amp;DruidPerformance)&amp;IF(ISBLANK(DruidPersuasion),"",", Persuasion +"&amp;DruidPersuasion)&amp;IF(ISBLANK(DruidReligion),"",", Religion +"&amp;DruidReligion)&amp;IF(ISBLANK(DruidSleightofHand),"",", Sleight of Hand +"&amp;DruidSleightofHand)&amp;IF(DruidStealth+AG37=0,"",", Stealth +"&amp;MAX(DruidStealth,AG37))&amp;IF(ISBLANK(DruidSurvival),"",", Survival +"&amp;DruidSurvival)</f>
        <v>, Perception +3, Stealth +5</v>
      </c>
      <c r="AJ37" s="1" t="str">
        <f>RIGHT(AI37,LEN(AI37)-2)</f>
        <v>Perception +3, Stealth +5</v>
      </c>
      <c r="AK3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7" s="1" t="s">
        <v>173</v>
      </c>
      <c r="AN37" s="3">
        <f>IF(DruidPerception+AF37=0,10+(ROUNDDOWN((AC37-10)/2,0)),10+MAX(DruidPerception,AF37))</f>
        <v>13</v>
      </c>
      <c r="AT37" s="3" t="s">
        <v>71</v>
      </c>
      <c r="AU37" s="3" t="s">
        <v>148</v>
      </c>
      <c r="AV37" s="3" t="s">
        <v>288</v>
      </c>
      <c r="AW37" s="3" t="s">
        <v>173</v>
      </c>
      <c r="AZ37" s="9"/>
      <c r="BA37" s="3" t="s">
        <v>149</v>
      </c>
      <c r="BB37" s="3" t="s">
        <v>150</v>
      </c>
      <c r="BC37" s="3" t="s">
        <v>289</v>
      </c>
      <c r="BD37" s="3" t="s">
        <v>173</v>
      </c>
      <c r="BG37" s="9"/>
      <c r="BH37" s="3" t="s">
        <v>161</v>
      </c>
      <c r="BI37" s="3" t="s">
        <v>150</v>
      </c>
      <c r="BJ37" s="3" t="s">
        <v>506</v>
      </c>
      <c r="BK37" s="3" t="s">
        <v>173</v>
      </c>
      <c r="BL37" s="3" t="s">
        <v>161</v>
      </c>
      <c r="BM37" s="3">
        <v>8</v>
      </c>
      <c r="BN37" s="9" t="s">
        <v>250</v>
      </c>
      <c r="BO37" s="3" t="s">
        <v>167</v>
      </c>
      <c r="BP37" s="3" t="s">
        <v>150</v>
      </c>
      <c r="BQ37" s="3" t="s">
        <v>290</v>
      </c>
      <c r="BR37" s="3" t="s">
        <v>173</v>
      </c>
      <c r="BS37" s="3" t="s">
        <v>167</v>
      </c>
      <c r="BT37" s="3">
        <v>8</v>
      </c>
      <c r="BU37" s="3" t="s">
        <v>154</v>
      </c>
      <c r="BY37" s="3" t="s">
        <v>173</v>
      </c>
      <c r="CJ37" s="6">
        <v>5</v>
      </c>
      <c r="CK37" s="6">
        <f>IF(CJ37&lt;0.26,2,IF(CJ37&lt;0.51,4,IF(CJ37&lt;1.1,8,99)))</f>
        <v>99</v>
      </c>
      <c r="CL37" s="3">
        <f>IF(M37="Elemental",10,IF(CJ37&lt;2,2,CJ37*3))</f>
        <v>15</v>
      </c>
      <c r="CM37" s="3">
        <f>IF(W37&gt;0,8,0)</f>
        <v>0</v>
      </c>
      <c r="CN37" s="3">
        <f>IF(X37&gt;0,4,0)</f>
        <v>4</v>
      </c>
    </row>
    <row r="38" spans="1:92">
      <c r="A38" s="3" t="str">
        <f>IF(DruidLevel&lt;B38,"",CHAR(9)&amp;"&lt;monster&gt;"&amp;CHAR(13)&amp;CHAR(9)&amp;CHAR(9)&amp;"&lt;name&gt;"&amp;L38&amp;" (Wild Shape)&lt;/name&gt;"&amp;CHAR(13)&amp;CHAR(9)&amp;CHAR(9)&amp;"&lt;size&gt;"&amp;LEFT(P38,1)&amp;"&lt;/size&gt;"&amp;CHAR(13)&amp;CHAR(9)&amp;CHAR(9)&amp;"&lt;type&gt;"&amp;M38&amp;"&lt;/type&gt;"&amp;CHAR(13)&amp;CHAR(9)&amp;CHAR(9)&amp;"&lt;alignment&gt;"&amp;N38&amp;"&lt;/alignment&gt;"&amp;CHAR(13)&amp;CHAR(9)&amp;CHAR(9)&amp;"&lt;ac&gt;"&amp;Q38&amp;IF(ISBLANK(R38),""," ("&amp;R38&amp;")")&amp;"&lt;/ac&gt;"&amp;CHAR(13)&amp;CHAR(9)&amp;CHAR(9)&amp;"&lt;hp&gt;"&amp;S38&amp;"&lt;/hp&gt;"&amp;CHAR(13)&amp;CHAR(9)&amp;CHAR(9)&amp;"&lt;speed&gt;"&amp;E38&amp;"&lt;/speed&gt;"&amp;CHAR(13)&amp;CHAR(9)&amp;CHAR(9)&amp;"&lt;str&gt;"&amp;Y38&amp;"&lt;/str&gt;&lt;dex&gt;"&amp;Z38&amp;"&lt;/dex&gt;&lt;con&gt;"&amp;AA38&amp;"&lt;/con&gt;&lt;int&gt;"&amp;AB38&amp;"&lt;/int&gt;&lt;wis&gt;"&amp;AC38&amp;"&lt;/wis&gt;&lt;cha&gt;"&amp;AD38&amp;"&lt;/cha&gt;"&amp;CHAR(13)&amp;CHAR(9)&amp;CHAR(9)&amp;"&lt;save&gt;"&amp;AK38&amp;"&lt;/save&gt;"&amp;CHAR(13)&amp;CHAR(9)&amp;CHAR(9)&amp;"&lt;skill&gt;"&amp;AJ38&amp;"&lt;/skill&gt;"&amp;CHAR(13)&amp;CHAR(9)&amp;CHAR(9)&amp;"&lt;vulnerable&gt;"&amp;AO38&amp;"&lt;/vulnerable&gt;"&amp;CHAR(13)&amp;CHAR(9)&amp;CHAR(9)&amp;"&lt;resist&gt;"&amp;AP38&amp;"&lt;/resist&gt;"&amp;CHAR(13)&amp;CHAR(9)&amp;CHAR(9)&amp;"&lt;immune&gt;"&amp;AQ38&amp;"&lt;/immune&gt;"&amp;CHAR(13)&amp;CHAR(9)&amp;CHAR(9)&amp;"&lt;conditionImmune&gt;"&amp;AR38&amp;"&lt;/conditionImmune&gt;"&amp;CHAR(13)&amp;CHAR(9)&amp;CHAR(9)&amp;"&lt;senses&gt;"&amp;AM38&amp;"&lt;/senses&gt;"&amp;CHAR(13)&amp;CHAR(9)&amp;CHAR(9)&amp;"&lt;passive&gt;"&amp;AN38&amp;"&lt;/passive&gt;"&amp;CHAR(13)&amp;CHAR(9)&amp;CHAR(9)&amp;"&lt;languages&gt;"&amp;AS38&amp;"&lt;/languages&gt;"&amp;CHAR(13)&amp;CHAR(9)&amp;CHAR(9)&amp;"&lt;cr&gt;"&amp;O38&amp;"&lt;/cr&gt;"&amp;F38&amp;G38&amp;H38&amp;I38&amp;J38&amp;K38&amp;IF(C38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8" s="3">
        <f>IF(COTM=TRUE,MAX(CL38,CM38,CN38),MAX(CK38,CM38,CN38))</f>
        <v>8</v>
      </c>
      <c r="C38" s="11" t="str">
        <f>IF(COTM=FALSE,"",IF(DruidLevel&gt;5,"Y",""))</f>
        <v/>
      </c>
      <c r="D38" s="3" t="s">
        <v>173</v>
      </c>
      <c r="E38" s="3" t="str">
        <f>T38&amp;" ft."&amp;IF(U38+V38+W38+X38=0,"",", ")&amp;IF(ISBLANK(U38),"","burrow "&amp;U38&amp;" ft."&amp;IF(V38+W38+X38=0,"",", "))&amp;IF(ISBLANK(V38),"","climb "&amp;V38&amp;" ft."&amp;IF(W38+X38=0,"",", "))&amp;IF(ISBLANK(W38),"","fly "&amp;W38&amp;" ft."&amp;IF(X38=0,"",", "))&amp;IF(ISBLANK(X38),"","swim "&amp;X38&amp;" ft.")</f>
        <v>10 ft., fly 80 ft.</v>
      </c>
      <c r="F38" s="3" t="str">
        <f>IF(ISBLANK(AT38),"",CHAR(13)&amp;CHAR(9)&amp;CHAR(9)&amp;"&lt;"&amp;AU38&amp;"&gt;"&amp;CHAR(13)&amp;CHAR(9)&amp;CHAR(9)&amp;CHAR(9)&amp;"&lt;name&gt;"&amp;AT38&amp;"&lt;/name&gt;"&amp;CHAR(13)&amp;CHAR(9)&amp;CHAR(9)&amp;CHAR(9)&amp;"&lt;text&gt;"&amp;AV38&amp;"&lt;/text&gt;"&amp;IF(ISBLANK(AX38),"",CHAR(13)&amp;CHAR(9)&amp;CHAR(9)&amp;CHAR(9)&amp;"&lt;attack&gt;"&amp;AX38&amp;"|"&amp;AY38&amp;"|"&amp;AZ38&amp;"&lt;/attack&gt;")&amp;CHAR(13)&amp;CHAR(9)&amp;CHAR(9)&amp;"&lt;/"&amp;AU38&amp;"&gt;")</f>
        <v>_x000D_		&lt;trait&gt;_x000D_			&lt;name&gt;Keen Sight&lt;/name&gt;_x000D_			&lt;text&gt;The eagle has advantage on Wisdom (Perception) checks that rely on sight.&lt;/text&gt;_x000D_		&lt;/trait&gt;</v>
      </c>
      <c r="G38" s="3" t="str">
        <f>IF(ISBLANK(BA38),"",CHAR(13)&amp;CHAR(9)&amp;CHAR(9)&amp;"&lt;"&amp;BB38&amp;"&gt;"&amp;CHAR(13)&amp;CHAR(9)&amp;CHAR(9)&amp;CHAR(9)&amp;"&lt;name&gt;"&amp;BA38&amp;"&lt;/name&gt;"&amp;CHAR(13)&amp;CHAR(9)&amp;CHAR(9)&amp;CHAR(9)&amp;"&lt;text&gt;"&amp;BC38&amp;"&lt;/text&gt;"&amp;IF(ISBLANK(BE38),"",CHAR(13)&amp;CHAR(9)&amp;CHAR(9)&amp;CHAR(9)&amp;"&lt;attack&gt;"&amp;BE38&amp;"|"&amp;BF38&amp;"|"&amp;BG38&amp;"&lt;/attack&gt;")&amp;CHAR(13)&amp;CHAR(9)&amp;CHAR(9)&amp;"&lt;/"&amp;BB38&amp;"&gt;")</f>
        <v>_x000D_		&lt;action&gt;_x000D_			&lt;name&gt;Multiattack&lt;/name&gt;_x000D_			&lt;text&gt;The eagle makes two attacks: one with its beak and one with its talons.&lt;/text&gt;_x000D_		&lt;/action&gt;</v>
      </c>
      <c r="H38" s="3" t="str">
        <f>IF(ISBLANK(BH38),"",CHAR(13)&amp;CHAR(9)&amp;CHAR(9)&amp;"&lt;"&amp;BI38&amp;"&gt;"&amp;CHAR(13)&amp;CHAR(9)&amp;CHAR(9)&amp;CHAR(9)&amp;"&lt;name&gt;"&amp;BH38&amp;"&lt;/name&gt;"&amp;CHAR(13)&amp;CHAR(9)&amp;CHAR(9)&amp;CHAR(9)&amp;"&lt;text&gt;"&amp;BJ38&amp;"&lt;/text&gt;"&amp;IF(ISBLANK(BL38),"",CHAR(13)&amp;CHAR(9)&amp;CHAR(9)&amp;CHAR(9)&amp;"&lt;attack&gt;"&amp;BL38&amp;"|"&amp;BM38&amp;"|"&amp;BN38&amp;"&lt;/attack&gt;")&amp;CHAR(13)&amp;CHAR(9)&amp;CHAR(9)&amp;"&lt;/"&amp;BI38&amp;"&gt;")</f>
        <v>_x000D_		&lt;action&gt;_x000D_			&lt;name&gt;Beak&lt;/name&gt;_x000D_			&lt;text&gt;Melee Weapon Attack: +5 to hit, reach 5 ft., one target. Hit: 6 (1d6+3) piercing damage.&lt;/text&gt;_x000D_			&lt;attack&gt;Beak|5|1d6+3&lt;/attack&gt;_x000D_		&lt;/action&gt;</v>
      </c>
      <c r="I38" s="3" t="str">
        <f>IF(ISBLANK(BO38),"",CHAR(13)&amp;CHAR(9)&amp;CHAR(9)&amp;"&lt;"&amp;BP38&amp;"&gt;"&amp;CHAR(13)&amp;CHAR(9)&amp;CHAR(9)&amp;CHAR(9)&amp;"&lt;name&gt;"&amp;BO38&amp;"&lt;/name&gt;"&amp;CHAR(13)&amp;CHAR(9)&amp;CHAR(9)&amp;CHAR(9)&amp;"&lt;text&gt;"&amp;BQ38&amp;"&lt;/text&gt;"&amp;IF(ISBLANK(BS38),"",CHAR(13)&amp;CHAR(9)&amp;CHAR(9)&amp;CHAR(9)&amp;"&lt;attack&gt;"&amp;BS38&amp;"|"&amp;BT38&amp;"|"&amp;BU38&amp;"&lt;/attack&gt;")&amp;CHAR(13)&amp;CHAR(9)&amp;CHAR(9)&amp;"&lt;/"&amp;BP38&amp;"&gt;")</f>
        <v>_x000D_		&lt;action&gt;_x000D_			&lt;name&gt;Talons&lt;/name&gt;_x000D_			&lt;text&gt;Melee Weapon Attack: +5 to hit, reach 5 ft., one target. Hit: 10 (2d6+3) slashing damage.&lt;/text&gt;_x000D_			&lt;attack&gt;Talons|5|2d6+3&lt;/attack&gt;_x000D_		&lt;/action&gt;</v>
      </c>
      <c r="J38" s="3" t="str">
        <f>IF(ISBLANK(BV38),"",CHAR(13)&amp;CHAR(9)&amp;CHAR(9)&amp;"&lt;"&amp;BW38&amp;"&gt;"&amp;CHAR(13)&amp;CHAR(9)&amp;CHAR(9)&amp;CHAR(9)&amp;"&lt;name&gt;"&amp;BV38&amp;"&lt;/name&gt;"&amp;CHAR(13)&amp;CHAR(9)&amp;CHAR(9)&amp;CHAR(9)&amp;"&lt;text&gt;"&amp;BX38&amp;"&lt;/text&gt;"&amp;IF(ISBLANK(BZ38),"",CHAR(13)&amp;CHAR(9)&amp;CHAR(9)&amp;CHAR(9)&amp;"&lt;attack&gt;"&amp;BZ38&amp;"|"&amp;CA38&amp;"|"&amp;CB38&amp;"&lt;/attack&gt;")&amp;CHAR(13)&amp;CHAR(9)&amp;CHAR(9)&amp;"&lt;/"&amp;BW38&amp;"&gt;")</f>
        <v/>
      </c>
      <c r="K38" s="3" t="str">
        <f>IF(ISBLANK(CC38),"",CHAR(13)&amp;CHAR(9)&amp;CHAR(9)&amp;"&lt;"&amp;CD38&amp;"&gt;"&amp;CHAR(13)&amp;CHAR(9)&amp;CHAR(9)&amp;CHAR(9)&amp;"&lt;name&gt;"&amp;CC38&amp;"&lt;/name&gt;"&amp;CHAR(13)&amp;CHAR(9)&amp;CHAR(9)&amp;CHAR(9)&amp;"&lt;text&gt;"&amp;CE38&amp;"&lt;/text&gt;"&amp;IF(ISBLANK(CG38),"",CHAR(13)&amp;CHAR(9)&amp;CHAR(9)&amp;CHAR(9)&amp;"&lt;attack&gt;"&amp;CG38&amp;"|"&amp;CH38&amp;"|"&amp;CI38&amp;"&lt;/attack&gt;")&amp;CHAR(13)&amp;CHAR(9)&amp;CHAR(9)&amp;"&lt;/"&amp;CD38&amp;"&gt;")</f>
        <v/>
      </c>
      <c r="L38" s="1" t="s">
        <v>8</v>
      </c>
      <c r="M38" s="1" t="s">
        <v>275</v>
      </c>
      <c r="N38" s="1">
        <f>DruidAlignment</f>
        <v>0</v>
      </c>
      <c r="O38" s="2">
        <v>1</v>
      </c>
      <c r="P38" s="1" t="s">
        <v>2</v>
      </c>
      <c r="Q38" s="1">
        <v>13</v>
      </c>
      <c r="R38" s="1"/>
      <c r="S38" s="1">
        <v>26</v>
      </c>
      <c r="T38" s="1">
        <v>10</v>
      </c>
      <c r="W38" s="1">
        <v>80</v>
      </c>
      <c r="Y38" s="1">
        <v>16</v>
      </c>
      <c r="Z38" s="1">
        <v>17</v>
      </c>
      <c r="AA38" s="1">
        <v>13</v>
      </c>
      <c r="AB38" s="10">
        <f>DruidInt</f>
        <v>0</v>
      </c>
      <c r="AC38" s="10">
        <f>DruidWis</f>
        <v>0</v>
      </c>
      <c r="AD38" s="10">
        <f>DruidCha</f>
        <v>0</v>
      </c>
      <c r="AE38" s="12"/>
      <c r="AF38" s="12"/>
      <c r="AG38" s="12"/>
      <c r="AH38" s="12" t="s">
        <v>173</v>
      </c>
      <c r="AI38" s="12" t="str">
        <f>IF(ISBLANK(DruidAcrobatics),"",", Acrobatics +"&amp;DruidAcrobatics)&amp;IF(ISBLANK(DruidAnimalHandling),"",", Animal Handling +"&amp;DruidAnimalHandling)&amp;IF(ISBLANK(DruidArcana),"",", Arcana +"&amp;DruidArcana)&amp;IF(DruidAthletics+AE38=0,"",", Athletics +"&amp;MAX(DruidAthletics,AE38))&amp;IF(ISBLANK(DruidDeception),"",",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+"&amp;DruidNature)&amp;IF(DruidPerception+AF38=0,"",", Perception +"&amp;MAX(DruidPerception,AF38))&amp;IF(ISBLANK(DruidPerformance),"",", Performance +"&amp;DruidPerformance)&amp;IF(ISBLANK(DruidPersuasion),"",", Persuasion +"&amp;DruidPersuasion)&amp;IF(ISBLANK(DruidReligion),"",", Religion +"&amp;DruidReligion)&amp;IF(ISBLANK(DruidSleightofHand),"",", Sleight of Hand +"&amp;DruidSleightofHand)&amp;IF(DruidStealth+AG38=0,"",", Stealth +"&amp;MAX(DruidStealth,AG38))&amp;IF(ISBLANK(DruidSurvival),"",", Survival +"&amp;DruidSurvival)</f>
        <v/>
      </c>
      <c r="AJ38" s="1" t="e">
        <f>RIGHT(AI38,LEN(AI38)-2)</f>
        <v>#VALUE!</v>
      </c>
      <c r="AK3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8" s="1" t="s">
        <v>173</v>
      </c>
      <c r="AN38" s="3">
        <f>IF(DruidPerception+AF38=0,10+(ROUNDDOWN((AC38-10)/2,0)),10+MAX(DruidPerception,AF38))</f>
        <v>5</v>
      </c>
      <c r="AS38" s="3" t="s">
        <v>140</v>
      </c>
      <c r="AT38" s="3" t="s">
        <v>9</v>
      </c>
      <c r="AU38" s="3" t="s">
        <v>148</v>
      </c>
      <c r="AV38" s="3" t="s">
        <v>242</v>
      </c>
      <c r="AW38" s="3" t="s">
        <v>173</v>
      </c>
      <c r="AZ38" s="3"/>
      <c r="BA38" s="3" t="s">
        <v>149</v>
      </c>
      <c r="BB38" s="3" t="s">
        <v>150</v>
      </c>
      <c r="BC38" s="3" t="s">
        <v>291</v>
      </c>
      <c r="BD38" s="3" t="s">
        <v>173</v>
      </c>
      <c r="BG38" s="3"/>
      <c r="BH38" s="3" t="s">
        <v>174</v>
      </c>
      <c r="BI38" s="3" t="s">
        <v>150</v>
      </c>
      <c r="BJ38" s="3" t="s">
        <v>451</v>
      </c>
      <c r="BK38" s="3" t="s">
        <v>173</v>
      </c>
      <c r="BL38" s="3" t="s">
        <v>174</v>
      </c>
      <c r="BM38" s="3">
        <v>5</v>
      </c>
      <c r="BN38" s="3" t="s">
        <v>171</v>
      </c>
      <c r="BO38" s="3" t="s">
        <v>243</v>
      </c>
      <c r="BP38" s="3" t="s">
        <v>150</v>
      </c>
      <c r="BQ38" s="3" t="s">
        <v>452</v>
      </c>
      <c r="BR38" s="3" t="s">
        <v>173</v>
      </c>
      <c r="BS38" s="3" t="s">
        <v>243</v>
      </c>
      <c r="BT38" s="3">
        <v>5</v>
      </c>
      <c r="BU38" s="3" t="s">
        <v>192</v>
      </c>
      <c r="BY38" s="3" t="s">
        <v>173</v>
      </c>
      <c r="CJ38" s="6">
        <v>1</v>
      </c>
      <c r="CK38" s="6">
        <f>IF(CJ38&lt;0.26,2,IF(CJ38&lt;0.51,4,IF(CJ38&lt;1.1,8,99)))</f>
        <v>8</v>
      </c>
      <c r="CL38" s="3">
        <f>IF(M38="Elemental",10,IF(CJ38&lt;2,2,CJ38*3))</f>
        <v>2</v>
      </c>
      <c r="CM38" s="3">
        <f>IF(W38&gt;0,8,0)</f>
        <v>8</v>
      </c>
      <c r="CN38" s="3">
        <f>IF(X38&gt;0,4,0)</f>
        <v>0</v>
      </c>
    </row>
    <row r="39" spans="1:92">
      <c r="A39" s="3" t="str">
        <f>IF(DruidLevel&lt;B39,"",CHAR(9)&amp;"&lt;monster&gt;"&amp;CHAR(13)&amp;CHAR(9)&amp;CHAR(9)&amp;"&lt;name&gt;"&amp;L39&amp;" (Wild Shape)&lt;/name&gt;"&amp;CHAR(13)&amp;CHAR(9)&amp;CHAR(9)&amp;"&lt;size&gt;"&amp;LEFT(P39,1)&amp;"&lt;/size&gt;"&amp;CHAR(13)&amp;CHAR(9)&amp;CHAR(9)&amp;"&lt;type&gt;"&amp;M39&amp;"&lt;/type&gt;"&amp;CHAR(13)&amp;CHAR(9)&amp;CHAR(9)&amp;"&lt;alignment&gt;"&amp;N39&amp;"&lt;/alignment&gt;"&amp;CHAR(13)&amp;CHAR(9)&amp;CHAR(9)&amp;"&lt;ac&gt;"&amp;Q39&amp;IF(ISBLANK(R39),""," ("&amp;R39&amp;")")&amp;"&lt;/ac&gt;"&amp;CHAR(13)&amp;CHAR(9)&amp;CHAR(9)&amp;"&lt;hp&gt;"&amp;S39&amp;"&lt;/hp&gt;"&amp;CHAR(13)&amp;CHAR(9)&amp;CHAR(9)&amp;"&lt;speed&gt;"&amp;E39&amp;"&lt;/speed&gt;"&amp;CHAR(13)&amp;CHAR(9)&amp;CHAR(9)&amp;"&lt;str&gt;"&amp;Y39&amp;"&lt;/str&gt;&lt;dex&gt;"&amp;Z39&amp;"&lt;/dex&gt;&lt;con&gt;"&amp;AA39&amp;"&lt;/con&gt;&lt;int&gt;"&amp;AB39&amp;"&lt;/int&gt;&lt;wis&gt;"&amp;AC39&amp;"&lt;/wis&gt;&lt;cha&gt;"&amp;AD39&amp;"&lt;/cha&gt;"&amp;CHAR(13)&amp;CHAR(9)&amp;CHAR(9)&amp;"&lt;save&gt;"&amp;AK39&amp;"&lt;/save&gt;"&amp;CHAR(13)&amp;CHAR(9)&amp;CHAR(9)&amp;"&lt;skill&gt;"&amp;AJ39&amp;"&lt;/skill&gt;"&amp;CHAR(13)&amp;CHAR(9)&amp;CHAR(9)&amp;"&lt;vulnerable&gt;"&amp;AO39&amp;"&lt;/vulnerable&gt;"&amp;CHAR(13)&amp;CHAR(9)&amp;CHAR(9)&amp;"&lt;resist&gt;"&amp;AP39&amp;"&lt;/resist&gt;"&amp;CHAR(13)&amp;CHAR(9)&amp;CHAR(9)&amp;"&lt;immune&gt;"&amp;AQ39&amp;"&lt;/immune&gt;"&amp;CHAR(13)&amp;CHAR(9)&amp;CHAR(9)&amp;"&lt;conditionImmune&gt;"&amp;AR39&amp;"&lt;/conditionImmune&gt;"&amp;CHAR(13)&amp;CHAR(9)&amp;CHAR(9)&amp;"&lt;senses&gt;"&amp;AM39&amp;"&lt;/senses&gt;"&amp;CHAR(13)&amp;CHAR(9)&amp;CHAR(9)&amp;"&lt;passive&gt;"&amp;AN39&amp;"&lt;/passive&gt;"&amp;CHAR(13)&amp;CHAR(9)&amp;CHAR(9)&amp;"&lt;languages&gt;"&amp;AS39&amp;"&lt;/languages&gt;"&amp;CHAR(13)&amp;CHAR(9)&amp;CHAR(9)&amp;"&lt;cr&gt;"&amp;O39&amp;"&lt;/cr&gt;"&amp;F39&amp;G39&amp;H39&amp;I39&amp;J39&amp;K39&amp;IF(C39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39" s="3">
        <f>IF(COTM=TRUE,MAX(CL39,CM39,CN39),MAX(CK39,CM39,CN39))</f>
        <v>99</v>
      </c>
      <c r="C39" s="11" t="str">
        <f>IF(COTM=FALSE,"",IF(DruidLevel&gt;5,"Y",""))</f>
        <v/>
      </c>
      <c r="D39" s="3" t="s">
        <v>173</v>
      </c>
      <c r="E39" s="3" t="str">
        <f>T39&amp;" ft."&amp;IF(U39+V39+W39+X39=0,"",", ")&amp;IF(ISBLANK(U39),"","burrow "&amp;U39&amp;" ft."&amp;IF(V39+W39+X39=0,"",", "))&amp;IF(ISBLANK(V39),"","climb "&amp;V39&amp;" ft."&amp;IF(W39+X39=0,"",", "))&amp;IF(ISBLANK(W39),"","fly "&amp;W39&amp;" ft."&amp;IF(X39=0,"",", "))&amp;IF(ISBLANK(X39),"","swim "&amp;X39&amp;" ft.")</f>
        <v>60 ft.</v>
      </c>
      <c r="F39" s="3" t="str">
        <f>IF(ISBLANK(AT39),"",CHAR(13)&amp;CHAR(9)&amp;CHAR(9)&amp;"&lt;"&amp;AU39&amp;"&gt;"&amp;CHAR(13)&amp;CHAR(9)&amp;CHAR(9)&amp;CHAR(9)&amp;"&lt;name&gt;"&amp;AT39&amp;"&lt;/name&gt;"&amp;CHAR(13)&amp;CHAR(9)&amp;CHAR(9)&amp;CHAR(9)&amp;"&lt;text&gt;"&amp;AV39&amp;"&lt;/text&gt;"&amp;IF(ISBLANK(AX39),"",CHAR(13)&amp;CHAR(9)&amp;CHAR(9)&amp;CHAR(9)&amp;"&lt;attack&gt;"&amp;AX39&amp;"|"&amp;AY39&amp;"|"&amp;AZ39&amp;"&lt;/attack&gt;")&amp;CHAR(13)&amp;CHAR(9)&amp;CHAR(9)&amp;"&lt;/"&amp;AU39&amp;"&gt;")</f>
        <v>_x000D_		&lt;trait&gt;_x000D_			&lt;name&gt;Charge&lt;/name&gt;_x000D_			&lt;text&gt;If the elk moves at least 20 feet straight toward a target and then hits it with a ram attack on the same turn, the target takes an extra 7 (2d6) damage. If the target is a creature, it must succeed on a DC 14 Strength saving throw or be knocked prone.&lt;/text&gt;_x000D_		&lt;/trait&gt;</v>
      </c>
      <c r="G39" s="3" t="str">
        <f>IF(ISBLANK(BA39),"",CHAR(13)&amp;CHAR(9)&amp;CHAR(9)&amp;"&lt;"&amp;BB39&amp;"&gt;"&amp;CHAR(13)&amp;CHAR(9)&amp;CHAR(9)&amp;CHAR(9)&amp;"&lt;name&gt;"&amp;BA39&amp;"&lt;/name&gt;"&amp;CHAR(13)&amp;CHAR(9)&amp;CHAR(9)&amp;CHAR(9)&amp;"&lt;text&gt;"&amp;BC39&amp;"&lt;/text&gt;"&amp;IF(ISBLANK(BE39),"",CHAR(13)&amp;CHAR(9)&amp;CHAR(9)&amp;CHAR(9)&amp;"&lt;attack&gt;"&amp;BE39&amp;"|"&amp;BF39&amp;"|"&amp;BG39&amp;"&lt;/attack&gt;")&amp;CHAR(13)&amp;CHAR(9)&amp;CHAR(9)&amp;"&lt;/"&amp;BB39&amp;"&gt;")</f>
        <v>_x000D_		&lt;action&gt;_x000D_			&lt;name&gt;Ram&lt;/name&gt;_x000D_			&lt;text&gt;Melee Weapon Attack: +6 to hit, reach 10 ft., one target. Hit: 11 (2d6 + 4) bludgeoning damage.&lt;/text&gt;_x000D_			&lt;attack&gt;Ram|6|2d6+4&lt;/attack&gt;_x000D_		&lt;/action&gt;</v>
      </c>
      <c r="H39" s="3" t="str">
        <f>IF(ISBLANK(BH39),"",CHAR(13)&amp;CHAR(9)&amp;CHAR(9)&amp;"&lt;"&amp;BI39&amp;"&gt;"&amp;CHAR(13)&amp;CHAR(9)&amp;CHAR(9)&amp;CHAR(9)&amp;"&lt;name&gt;"&amp;BH39&amp;"&lt;/name&gt;"&amp;CHAR(13)&amp;CHAR(9)&amp;CHAR(9)&amp;CHAR(9)&amp;"&lt;text&gt;"&amp;BJ39&amp;"&lt;/text&gt;"&amp;IF(ISBLANK(BL39),"",CHAR(13)&amp;CHAR(9)&amp;CHAR(9)&amp;CHAR(9)&amp;"&lt;attack&gt;"&amp;BL39&amp;"|"&amp;BM39&amp;"|"&amp;BN39&amp;"&lt;/attack&gt;")&amp;CHAR(13)&amp;CHAR(9)&amp;CHAR(9)&amp;"&lt;/"&amp;BI39&amp;"&gt;")</f>
        <v>_x000D_		&lt;action&gt;_x000D_			&lt;name&gt;Hooves&lt;/name&gt;_x000D_			&lt;text&gt;Melee Weapon Attack: +6 to hit, reach 5 ft., one prone creature. Hit: 22 (4d8 + 4) bludgeoning damage.&lt;/text&gt;_x000D_			&lt;attack&gt;Hooves|6|4d8+4&lt;/attack&gt;_x000D_		&lt;/action&gt;</v>
      </c>
      <c r="I39" s="3" t="str">
        <f>IF(ISBLANK(BO39),"",CHAR(13)&amp;CHAR(9)&amp;CHAR(9)&amp;"&lt;"&amp;BP39&amp;"&gt;"&amp;CHAR(13)&amp;CHAR(9)&amp;CHAR(9)&amp;CHAR(9)&amp;"&lt;name&gt;"&amp;BO39&amp;"&lt;/name&gt;"&amp;CHAR(13)&amp;CHAR(9)&amp;CHAR(9)&amp;CHAR(9)&amp;"&lt;text&gt;"&amp;BQ39&amp;"&lt;/text&gt;"&amp;IF(ISBLANK(BS39),"",CHAR(13)&amp;CHAR(9)&amp;CHAR(9)&amp;CHAR(9)&amp;"&lt;attack&gt;"&amp;BS39&amp;"|"&amp;BT39&amp;"|"&amp;BU39&amp;"&lt;/attack&gt;")&amp;CHAR(13)&amp;CHAR(9)&amp;CHAR(9)&amp;"&lt;/"&amp;BP39&amp;"&gt;")</f>
        <v/>
      </c>
      <c r="J39" s="3" t="str">
        <f>IF(ISBLANK(BV39),"",CHAR(13)&amp;CHAR(9)&amp;CHAR(9)&amp;"&lt;"&amp;BW39&amp;"&gt;"&amp;CHAR(13)&amp;CHAR(9)&amp;CHAR(9)&amp;CHAR(9)&amp;"&lt;name&gt;"&amp;BV39&amp;"&lt;/name&gt;"&amp;CHAR(13)&amp;CHAR(9)&amp;CHAR(9)&amp;CHAR(9)&amp;"&lt;text&gt;"&amp;BX39&amp;"&lt;/text&gt;"&amp;IF(ISBLANK(BZ39),"",CHAR(13)&amp;CHAR(9)&amp;CHAR(9)&amp;CHAR(9)&amp;"&lt;attack&gt;"&amp;BZ39&amp;"|"&amp;CA39&amp;"|"&amp;CB39&amp;"&lt;/attack&gt;")&amp;CHAR(13)&amp;CHAR(9)&amp;CHAR(9)&amp;"&lt;/"&amp;BW39&amp;"&gt;")</f>
        <v/>
      </c>
      <c r="K39" s="3" t="str">
        <f>IF(ISBLANK(CC39),"",CHAR(13)&amp;CHAR(9)&amp;CHAR(9)&amp;"&lt;"&amp;CD39&amp;"&gt;"&amp;CHAR(13)&amp;CHAR(9)&amp;CHAR(9)&amp;CHAR(9)&amp;"&lt;name&gt;"&amp;CC39&amp;"&lt;/name&gt;"&amp;CHAR(13)&amp;CHAR(9)&amp;CHAR(9)&amp;CHAR(9)&amp;"&lt;text&gt;"&amp;CE39&amp;"&lt;/text&gt;"&amp;IF(ISBLANK(CG39),"",CHAR(13)&amp;CHAR(9)&amp;CHAR(9)&amp;CHAR(9)&amp;"&lt;attack&gt;"&amp;CG39&amp;"|"&amp;CH39&amp;"|"&amp;CI39&amp;"&lt;/attack&gt;")&amp;CHAR(13)&amp;CHAR(9)&amp;CHAR(9)&amp;"&lt;/"&amp;CD39&amp;"&gt;")</f>
        <v/>
      </c>
      <c r="L39" s="1" t="s">
        <v>81</v>
      </c>
      <c r="M39" s="1" t="s">
        <v>275</v>
      </c>
      <c r="N39" s="1">
        <f>DruidAlignment</f>
        <v>0</v>
      </c>
      <c r="O39" s="2">
        <v>2</v>
      </c>
      <c r="P39" s="1" t="s">
        <v>80</v>
      </c>
      <c r="Q39" s="1">
        <v>15</v>
      </c>
      <c r="R39" s="1" t="s">
        <v>405</v>
      </c>
      <c r="S39" s="1">
        <v>42</v>
      </c>
      <c r="T39" s="1">
        <v>60</v>
      </c>
      <c r="Y39" s="1">
        <v>19</v>
      </c>
      <c r="Z39" s="1">
        <v>16</v>
      </c>
      <c r="AA39" s="1">
        <v>14</v>
      </c>
      <c r="AB39" s="10">
        <f>DruidInt</f>
        <v>0</v>
      </c>
      <c r="AC39" s="10">
        <f>DruidWis</f>
        <v>0</v>
      </c>
      <c r="AD39" s="10">
        <f>DruidCha</f>
        <v>0</v>
      </c>
      <c r="AE39" s="12"/>
      <c r="AF39" s="12">
        <v>3</v>
      </c>
      <c r="AG39" s="12"/>
      <c r="AH39" s="12" t="s">
        <v>173</v>
      </c>
      <c r="AI39" s="12" t="str">
        <f>IF(ISBLANK(DruidAcrobatics),"",", Acrobatics +"&amp;DruidAcrobatics)&amp;IF(ISBLANK(DruidAnimalHandling),"",", Animal Handling +"&amp;DruidAnimalHandling)&amp;IF(ISBLANK(DruidArcana),"",", Arcana +"&amp;DruidArcana)&amp;IF(DruidAthletics+AE39=0,"",", Athletics +"&amp;MAX(DruidAthletics,AE39))&amp;IF(ISBLANK(DruidDeception),"",",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+"&amp;DruidNature)&amp;IF(DruidPerception+AF39=0,"",", Perception +"&amp;MAX(DruidPerception,AF39))&amp;IF(ISBLANK(DruidPerformance),"",", Performance +"&amp;DruidPerformance)&amp;IF(ISBLANK(DruidPersuasion),"",", Persuasion +"&amp;DruidPersuasion)&amp;IF(ISBLANK(DruidReligion),"",", Religion +"&amp;DruidReligion)&amp;IF(ISBLANK(DruidSleightofHand),"",", Sleight of Hand +"&amp;DruidSleightofHand)&amp;IF(DruidStealth+AG39=0,"",", Stealth +"&amp;MAX(DruidStealth,AG39))&amp;IF(ISBLANK(DruidSurvival),"",", Survival +"&amp;DruidSurvival)</f>
        <v>, Perception +3</v>
      </c>
      <c r="AJ39" s="1" t="str">
        <f>RIGHT(AI39,LEN(AI39)-2)</f>
        <v>Perception +3</v>
      </c>
      <c r="AK3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39" s="1" t="s">
        <v>173</v>
      </c>
      <c r="AN39" s="3">
        <f>IF(DruidPerception+AF39=0,10+(ROUNDDOWN((AC39-10)/2,0)),10+MAX(DruidPerception,AF39))</f>
        <v>13</v>
      </c>
      <c r="AS39" s="3" t="s">
        <v>141</v>
      </c>
      <c r="AT39" s="3" t="s">
        <v>38</v>
      </c>
      <c r="AU39" s="3" t="s">
        <v>148</v>
      </c>
      <c r="AV39" s="3" t="s">
        <v>292</v>
      </c>
      <c r="AW39" s="3" t="s">
        <v>173</v>
      </c>
      <c r="AZ39" s="3"/>
      <c r="BA39" s="3" t="s">
        <v>252</v>
      </c>
      <c r="BB39" s="3" t="s">
        <v>150</v>
      </c>
      <c r="BC39" s="3" t="s">
        <v>294</v>
      </c>
      <c r="BD39" s="3" t="s">
        <v>173</v>
      </c>
      <c r="BE39" s="3" t="s">
        <v>252</v>
      </c>
      <c r="BF39" s="3">
        <v>6</v>
      </c>
      <c r="BG39" s="3" t="s">
        <v>228</v>
      </c>
      <c r="BH39" s="3" t="s">
        <v>240</v>
      </c>
      <c r="BI39" s="3" t="s">
        <v>150</v>
      </c>
      <c r="BJ39" s="3" t="s">
        <v>295</v>
      </c>
      <c r="BK39" s="3" t="s">
        <v>173</v>
      </c>
      <c r="BL39" s="3" t="s">
        <v>240</v>
      </c>
      <c r="BM39" s="3">
        <v>6</v>
      </c>
      <c r="BN39" s="3" t="s">
        <v>293</v>
      </c>
      <c r="BR39" s="3" t="s">
        <v>173</v>
      </c>
      <c r="BY39" s="3" t="s">
        <v>173</v>
      </c>
      <c r="CJ39" s="6">
        <v>2</v>
      </c>
      <c r="CK39" s="6">
        <f>IF(CJ39&lt;0.26,2,IF(CJ39&lt;0.51,4,IF(CJ39&lt;1.1,8,99)))</f>
        <v>99</v>
      </c>
      <c r="CL39" s="3">
        <f>IF(M39="Elemental",10,IF(CJ39&lt;2,2,CJ39*3))</f>
        <v>6</v>
      </c>
      <c r="CM39" s="3">
        <f>IF(W39&gt;0,8,0)</f>
        <v>0</v>
      </c>
      <c r="CN39" s="3">
        <f>IF(X39&gt;0,4,0)</f>
        <v>0</v>
      </c>
    </row>
    <row r="40" spans="1:92">
      <c r="A40" s="3" t="str">
        <f>IF(DruidLevel&lt;B40,"",CHAR(9)&amp;"&lt;monster&gt;"&amp;CHAR(13)&amp;CHAR(9)&amp;CHAR(9)&amp;"&lt;name&gt;"&amp;L40&amp;" (Wild Shape)&lt;/name&gt;"&amp;CHAR(13)&amp;CHAR(9)&amp;CHAR(9)&amp;"&lt;size&gt;"&amp;LEFT(P40,1)&amp;"&lt;/size&gt;"&amp;CHAR(13)&amp;CHAR(9)&amp;CHAR(9)&amp;"&lt;type&gt;"&amp;M40&amp;"&lt;/type&gt;"&amp;CHAR(13)&amp;CHAR(9)&amp;CHAR(9)&amp;"&lt;alignment&gt;"&amp;N40&amp;"&lt;/alignment&gt;"&amp;CHAR(13)&amp;CHAR(9)&amp;CHAR(9)&amp;"&lt;ac&gt;"&amp;Q40&amp;IF(ISBLANK(R40),""," ("&amp;R40&amp;")")&amp;"&lt;/ac&gt;"&amp;CHAR(13)&amp;CHAR(9)&amp;CHAR(9)&amp;"&lt;hp&gt;"&amp;S40&amp;"&lt;/hp&gt;"&amp;CHAR(13)&amp;CHAR(9)&amp;CHAR(9)&amp;"&lt;speed&gt;"&amp;E40&amp;"&lt;/speed&gt;"&amp;CHAR(13)&amp;CHAR(9)&amp;CHAR(9)&amp;"&lt;str&gt;"&amp;Y40&amp;"&lt;/str&gt;&lt;dex&gt;"&amp;Z40&amp;"&lt;/dex&gt;&lt;con&gt;"&amp;AA40&amp;"&lt;/con&gt;&lt;int&gt;"&amp;AB40&amp;"&lt;/int&gt;&lt;wis&gt;"&amp;AC40&amp;"&lt;/wis&gt;&lt;cha&gt;"&amp;AD40&amp;"&lt;/cha&gt;"&amp;CHAR(13)&amp;CHAR(9)&amp;CHAR(9)&amp;"&lt;save&gt;"&amp;AK40&amp;"&lt;/save&gt;"&amp;CHAR(13)&amp;CHAR(9)&amp;CHAR(9)&amp;"&lt;skill&gt;"&amp;AJ40&amp;"&lt;/skill&gt;"&amp;CHAR(13)&amp;CHAR(9)&amp;CHAR(9)&amp;"&lt;vulnerable&gt;"&amp;AO40&amp;"&lt;/vulnerable&gt;"&amp;CHAR(13)&amp;CHAR(9)&amp;CHAR(9)&amp;"&lt;resist&gt;"&amp;AP40&amp;"&lt;/resist&gt;"&amp;CHAR(13)&amp;CHAR(9)&amp;CHAR(9)&amp;"&lt;immune&gt;"&amp;AQ40&amp;"&lt;/immune&gt;"&amp;CHAR(13)&amp;CHAR(9)&amp;CHAR(9)&amp;"&lt;conditionImmune&gt;"&amp;AR40&amp;"&lt;/conditionImmune&gt;"&amp;CHAR(13)&amp;CHAR(9)&amp;CHAR(9)&amp;"&lt;senses&gt;"&amp;AM40&amp;"&lt;/senses&gt;"&amp;CHAR(13)&amp;CHAR(9)&amp;CHAR(9)&amp;"&lt;passive&gt;"&amp;AN40&amp;"&lt;/passive&gt;"&amp;CHAR(13)&amp;CHAR(9)&amp;CHAR(9)&amp;"&lt;languages&gt;"&amp;AS40&amp;"&lt;/languages&gt;"&amp;CHAR(13)&amp;CHAR(9)&amp;CHAR(9)&amp;"&lt;cr&gt;"&amp;O40&amp;"&lt;/cr&gt;"&amp;F40&amp;G40&amp;H40&amp;I40&amp;J40&amp;K40&amp;IF(C40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0" s="3">
        <f>IF(COTM=TRUE,MAX(CL40,CM40,CN40),MAX(CK40,CM40,CN40))</f>
        <v>2</v>
      </c>
      <c r="C40" s="11" t="str">
        <f>IF(COTM=FALSE,"",IF(DruidLevel&gt;5,"Y",""))</f>
        <v/>
      </c>
      <c r="D40" s="3" t="s">
        <v>173</v>
      </c>
      <c r="E40" s="3" t="str">
        <f>T40&amp;" ft."&amp;IF(U40+V40+W40+X40=0,"",", ")&amp;IF(ISBLANK(U40),"","burrow "&amp;U40&amp;" ft."&amp;IF(V40+W40+X40=0,"",", "))&amp;IF(ISBLANK(V40),"","climb "&amp;V40&amp;" ft."&amp;IF(W40+X40=0,"",", "))&amp;IF(ISBLANK(W40),"","fly "&amp;W40&amp;" ft."&amp;IF(X40=0,"",", "))&amp;IF(ISBLANK(X40),"","swim "&amp;X40&amp;" ft.")</f>
        <v>30 ft.</v>
      </c>
      <c r="F40" s="3" t="str">
        <f>IF(ISBLANK(AT40),"",CHAR(13)&amp;CHAR(9)&amp;CHAR(9)&amp;"&lt;"&amp;AU40&amp;"&gt;"&amp;CHAR(13)&amp;CHAR(9)&amp;CHAR(9)&amp;CHAR(9)&amp;"&lt;name&gt;"&amp;AT40&amp;"&lt;/name&gt;"&amp;CHAR(13)&amp;CHAR(9)&amp;CHAR(9)&amp;CHAR(9)&amp;"&lt;text&gt;"&amp;AV40&amp;"&lt;/text&gt;"&amp;IF(ISBLANK(AX40),"",CHAR(13)&amp;CHAR(9)&amp;CHAR(9)&amp;CHAR(9)&amp;"&lt;attack&gt;"&amp;AX40&amp;"|"&amp;AY40&amp;"|"&amp;AZ40&amp;"&lt;/attack&gt;")&amp;CHAR(13)&amp;CHAR(9)&amp;CHAR(9)&amp;"&lt;/"&amp;AU40&amp;"&gt;")</f>
        <v>_x000D_		&lt;trait&gt;_x000D_			&lt;name&gt;Illumination&lt;/name&gt;_x000D_			&lt;text&gt;The beetle sheds bright light in a 10-foot radius and dim light for an additional 10 feet.&lt;/text&gt;_x000D_		&lt;/trait&gt;</v>
      </c>
      <c r="G40" s="3" t="str">
        <f>IF(ISBLANK(BA40),"",CHAR(13)&amp;CHAR(9)&amp;CHAR(9)&amp;"&lt;"&amp;BB40&amp;"&gt;"&amp;CHAR(13)&amp;CHAR(9)&amp;CHAR(9)&amp;CHAR(9)&amp;"&lt;name&gt;"&amp;BA40&amp;"&lt;/name&gt;"&amp;CHAR(13)&amp;CHAR(9)&amp;CHAR(9)&amp;CHAR(9)&amp;"&lt;text&gt;"&amp;BC40&amp;"&lt;/text&gt;"&amp;IF(ISBLANK(BE40),"",CHAR(13)&amp;CHAR(9)&amp;CHAR(9)&amp;CHAR(9)&amp;"&lt;attack&gt;"&amp;BE40&amp;"|"&amp;BF40&amp;"|"&amp;BG40&amp;"&lt;/attack&gt;")&amp;CHAR(13)&amp;CHAR(9)&amp;CHAR(9)&amp;"&lt;/"&amp;BB40&amp;"&gt;")</f>
        <v>_x000D_		&lt;action&gt;_x000D_			&lt;name&gt;Bite&lt;/name&gt;_x000D_			&lt;text&gt;Melee Weapon Attack: +1 to hit, reach 5 ft., one target. Hit: 2 (1d6 - 1) slashing damage.&lt;/text&gt;_x000D_			&lt;attack&gt;Bite|1|1d6-1&lt;/attack&gt;_x000D_		&lt;/action&gt;</v>
      </c>
      <c r="H40" s="3" t="str">
        <f>IF(ISBLANK(BH40),"",CHAR(13)&amp;CHAR(9)&amp;CHAR(9)&amp;"&lt;"&amp;BI40&amp;"&gt;"&amp;CHAR(13)&amp;CHAR(9)&amp;CHAR(9)&amp;CHAR(9)&amp;"&lt;name&gt;"&amp;BH40&amp;"&lt;/name&gt;"&amp;CHAR(13)&amp;CHAR(9)&amp;CHAR(9)&amp;CHAR(9)&amp;"&lt;text&gt;"&amp;BJ40&amp;"&lt;/text&gt;"&amp;IF(ISBLANK(BL40),"",CHAR(13)&amp;CHAR(9)&amp;CHAR(9)&amp;CHAR(9)&amp;"&lt;attack&gt;"&amp;BL40&amp;"|"&amp;BM40&amp;"|"&amp;BN40&amp;"&lt;/attack&gt;")&amp;CHAR(13)&amp;CHAR(9)&amp;CHAR(9)&amp;"&lt;/"&amp;BI40&amp;"&gt;")</f>
        <v/>
      </c>
      <c r="I40" s="3" t="str">
        <f>IF(ISBLANK(BO40),"",CHAR(13)&amp;CHAR(9)&amp;CHAR(9)&amp;"&lt;"&amp;BP40&amp;"&gt;"&amp;CHAR(13)&amp;CHAR(9)&amp;CHAR(9)&amp;CHAR(9)&amp;"&lt;name&gt;"&amp;BO40&amp;"&lt;/name&gt;"&amp;CHAR(13)&amp;CHAR(9)&amp;CHAR(9)&amp;CHAR(9)&amp;"&lt;text&gt;"&amp;BQ40&amp;"&lt;/text&gt;"&amp;IF(ISBLANK(BS40),"",CHAR(13)&amp;CHAR(9)&amp;CHAR(9)&amp;CHAR(9)&amp;"&lt;attack&gt;"&amp;BS40&amp;"|"&amp;BT40&amp;"|"&amp;BU40&amp;"&lt;/attack&gt;")&amp;CHAR(13)&amp;CHAR(9)&amp;CHAR(9)&amp;"&lt;/"&amp;BP40&amp;"&gt;")</f>
        <v/>
      </c>
      <c r="J40" s="3" t="str">
        <f>IF(ISBLANK(BV40),"",CHAR(13)&amp;CHAR(9)&amp;CHAR(9)&amp;"&lt;"&amp;BW40&amp;"&gt;"&amp;CHAR(13)&amp;CHAR(9)&amp;CHAR(9)&amp;CHAR(9)&amp;"&lt;name&gt;"&amp;BV40&amp;"&lt;/name&gt;"&amp;CHAR(13)&amp;CHAR(9)&amp;CHAR(9)&amp;CHAR(9)&amp;"&lt;text&gt;"&amp;BX40&amp;"&lt;/text&gt;"&amp;IF(ISBLANK(BZ40),"",CHAR(13)&amp;CHAR(9)&amp;CHAR(9)&amp;CHAR(9)&amp;"&lt;attack&gt;"&amp;BZ40&amp;"|"&amp;CA40&amp;"|"&amp;CB40&amp;"&lt;/attack&gt;")&amp;CHAR(13)&amp;CHAR(9)&amp;CHAR(9)&amp;"&lt;/"&amp;BW40&amp;"&gt;")</f>
        <v/>
      </c>
      <c r="K40" s="3" t="str">
        <f>IF(ISBLANK(CC40),"",CHAR(13)&amp;CHAR(9)&amp;CHAR(9)&amp;"&lt;"&amp;CD40&amp;"&gt;"&amp;CHAR(13)&amp;CHAR(9)&amp;CHAR(9)&amp;CHAR(9)&amp;"&lt;name&gt;"&amp;CC40&amp;"&lt;/name&gt;"&amp;CHAR(13)&amp;CHAR(9)&amp;CHAR(9)&amp;CHAR(9)&amp;"&lt;text&gt;"&amp;CE40&amp;"&lt;/text&gt;"&amp;IF(ISBLANK(CG40),"",CHAR(13)&amp;CHAR(9)&amp;CHAR(9)&amp;CHAR(9)&amp;"&lt;attack&gt;"&amp;CG40&amp;"|"&amp;CH40&amp;"|"&amp;CI40&amp;"&lt;/attack&gt;")&amp;CHAR(13)&amp;CHAR(9)&amp;CHAR(9)&amp;"&lt;/"&amp;CD40&amp;"&gt;")</f>
        <v/>
      </c>
      <c r="L40" s="1" t="s">
        <v>18</v>
      </c>
      <c r="M40" s="1" t="s">
        <v>275</v>
      </c>
      <c r="N40" s="1">
        <f>DruidAlignment</f>
        <v>0</v>
      </c>
      <c r="O40" s="2">
        <v>0</v>
      </c>
      <c r="P40" s="1" t="s">
        <v>11</v>
      </c>
      <c r="Q40" s="1">
        <v>13</v>
      </c>
      <c r="R40" s="1" t="s">
        <v>405</v>
      </c>
      <c r="S40" s="1">
        <v>4</v>
      </c>
      <c r="T40" s="1">
        <v>30</v>
      </c>
      <c r="Y40" s="1">
        <v>8</v>
      </c>
      <c r="Z40" s="1">
        <v>10</v>
      </c>
      <c r="AA40" s="1">
        <v>12</v>
      </c>
      <c r="AB40" s="10">
        <f>DruidInt</f>
        <v>0</v>
      </c>
      <c r="AC40" s="10">
        <f>DruidWis</f>
        <v>0</v>
      </c>
      <c r="AD40" s="10">
        <f>DruidCha</f>
        <v>0</v>
      </c>
      <c r="AE40" s="12"/>
      <c r="AF40" s="12"/>
      <c r="AG40" s="12"/>
      <c r="AH40" s="12" t="s">
        <v>173</v>
      </c>
      <c r="AI40" s="12" t="str">
        <f>IF(ISBLANK(DruidAcrobatics),"",", Acrobatics +"&amp;DruidAcrobatics)&amp;IF(ISBLANK(DruidAnimalHandling),"",", Animal Handling +"&amp;DruidAnimalHandling)&amp;IF(ISBLANK(DruidArcana),"",", Arcana +"&amp;DruidArcana)&amp;IF(DruidAthletics+AE40=0,"",", Athletics +"&amp;MAX(DruidAthletics,AE40))&amp;IF(ISBLANK(DruidDeception),"",",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+"&amp;DruidNature)&amp;IF(DruidPerception+AF40=0,"",", Perception +"&amp;MAX(DruidPerception,AF40))&amp;IF(ISBLANK(DruidPerformance),"",", Performance +"&amp;DruidPerformance)&amp;IF(ISBLANK(DruidPersuasion),"",", Persuasion +"&amp;DruidPersuasion)&amp;IF(ISBLANK(DruidReligion),"",", Religion +"&amp;DruidReligion)&amp;IF(ISBLANK(DruidSleightofHand),"",", Sleight of Hand +"&amp;DruidSleightofHand)&amp;IF(DruidStealth+AG40=0,"",", Stealth +"&amp;MAX(DruidStealth,AG40))&amp;IF(ISBLANK(DruidSurvival),"",", Survival +"&amp;DruidSurvival)</f>
        <v/>
      </c>
      <c r="AJ40" s="1" t="e">
        <f>RIGHT(AI40,LEN(AI40)-2)</f>
        <v>#VALUE!</v>
      </c>
      <c r="AK4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0" s="1" t="s">
        <v>173</v>
      </c>
      <c r="AM40" s="1" t="s">
        <v>181</v>
      </c>
      <c r="AN40" s="3">
        <f>IF(DruidPerception+AF40=0,10+(ROUNDDOWN((AC40-10)/2,0)),10+MAX(DruidPerception,AF40))</f>
        <v>5</v>
      </c>
      <c r="AO40" s="1"/>
      <c r="AP40" s="1"/>
      <c r="AQ40" s="1"/>
      <c r="AR40" s="1"/>
      <c r="AS40" s="1"/>
      <c r="AT40" s="3" t="s">
        <v>19</v>
      </c>
      <c r="AU40" s="3" t="s">
        <v>148</v>
      </c>
      <c r="AV40" s="3" t="s">
        <v>296</v>
      </c>
      <c r="AW40" s="3" t="s">
        <v>173</v>
      </c>
      <c r="AZ40" s="3"/>
      <c r="BA40" s="3" t="s">
        <v>161</v>
      </c>
      <c r="BB40" s="3" t="s">
        <v>150</v>
      </c>
      <c r="BC40" s="3" t="s">
        <v>509</v>
      </c>
      <c r="BD40" s="3" t="s">
        <v>173</v>
      </c>
      <c r="BE40" s="3" t="s">
        <v>161</v>
      </c>
      <c r="BF40" s="3">
        <v>1</v>
      </c>
      <c r="BG40" s="3" t="s">
        <v>297</v>
      </c>
      <c r="BK40" s="3" t="s">
        <v>173</v>
      </c>
      <c r="BN40" s="3"/>
      <c r="BR40" s="3" t="s">
        <v>173</v>
      </c>
      <c r="BY40" s="3" t="s">
        <v>173</v>
      </c>
      <c r="CJ40" s="6">
        <v>0</v>
      </c>
      <c r="CK40" s="6">
        <f>IF(CJ40&lt;0.26,2,IF(CJ40&lt;0.51,4,IF(CJ40&lt;1.1,8,99)))</f>
        <v>2</v>
      </c>
      <c r="CL40" s="3">
        <f>IF(M40="Elemental",10,IF(CJ40&lt;2,2,CJ40*3))</f>
        <v>2</v>
      </c>
      <c r="CM40" s="3">
        <f>IF(W40&gt;0,8,0)</f>
        <v>0</v>
      </c>
      <c r="CN40" s="3">
        <f>IF(X40&gt;0,4,0)</f>
        <v>0</v>
      </c>
    </row>
    <row r="41" spans="1:92">
      <c r="E41" s="3" t="str">
        <f>T41&amp;" ft."&amp;IF(U41+V41+W41+X41=0,"",", ")&amp;IF(ISBLANK(U41),"","burrow "&amp;U41&amp;" ft."&amp;IF(V41+W41+X41=0,"",", "))&amp;IF(ISBLANK(V41),"","climb "&amp;V41&amp;" ft."&amp;IF(W41+X41=0,"",", "))&amp;IF(ISBLANK(W41),"","fly "&amp;W41&amp;" ft."&amp;IF(X41=0,"",", "))&amp;IF(ISBLANK(X41),"","swim "&amp;X41&amp;" ft.")</f>
        <v>30 ft., fly 60 ft.</v>
      </c>
      <c r="G41" s="3" t="str">
        <f>IF(ISBLANK(BA41),"",CHAR(13)&amp;CHAR(9)&amp;CHAR(9)&amp;"&lt;"&amp;BB41&amp;"&gt;"&amp;CHAR(13)&amp;CHAR(9)&amp;CHAR(9)&amp;CHAR(9)&amp;"&lt;name&gt;"&amp;BA41&amp;"&lt;/name&gt;"&amp;CHAR(13)&amp;CHAR(9)&amp;CHAR(9)&amp;CHAR(9)&amp;"&lt;text&gt;"&amp;BC41&amp;"&lt;/text&gt;"&amp;IF(ISBLANK(BE41),"",CHAR(13)&amp;CHAR(9)&amp;CHAR(9)&amp;CHAR(9)&amp;"&lt;attack&gt;"&amp;BE41&amp;"|"&amp;BF41&amp;"|"&amp;BG41&amp;"&lt;/attack&gt;")&amp;CHAR(13)&amp;CHAR(9)&amp;CHAR(9)&amp;"&lt;/"&amp;BB41&amp;"&gt;")</f>
        <v/>
      </c>
      <c r="H41" s="3" t="str">
        <f>IF(ISBLANK(BH41),"",CHAR(13)&amp;CHAR(9)&amp;CHAR(9)&amp;"&lt;"&amp;BI41&amp;"&gt;"&amp;CHAR(13)&amp;CHAR(9)&amp;CHAR(9)&amp;CHAR(9)&amp;"&lt;name&gt;"&amp;BH41&amp;"&lt;/name&gt;"&amp;CHAR(13)&amp;CHAR(9)&amp;CHAR(9)&amp;CHAR(9)&amp;"&lt;text&gt;"&amp;BJ41&amp;"&lt;/text&gt;"&amp;IF(ISBLANK(BL41),"",CHAR(13)&amp;CHAR(9)&amp;CHAR(9)&amp;CHAR(9)&amp;"&lt;attack&gt;"&amp;BL41&amp;"|"&amp;BM41&amp;"|"&amp;BN41&amp;"&lt;/attack&gt;")&amp;CHAR(13)&amp;CHAR(9)&amp;CHAR(9)&amp;"&lt;/"&amp;BI41&amp;"&gt;")</f>
        <v/>
      </c>
      <c r="I41" s="3" t="str">
        <f>IF(ISBLANK(BO41),"",CHAR(13)&amp;CHAR(9)&amp;CHAR(9)&amp;"&lt;"&amp;BP41&amp;"&gt;"&amp;CHAR(13)&amp;CHAR(9)&amp;CHAR(9)&amp;CHAR(9)&amp;"&lt;name&gt;"&amp;BO41&amp;"&lt;/name&gt;"&amp;CHAR(13)&amp;CHAR(9)&amp;CHAR(9)&amp;CHAR(9)&amp;"&lt;text&gt;"&amp;BQ41&amp;"&lt;/text&gt;"&amp;IF(ISBLANK(BS41),"",CHAR(13)&amp;CHAR(9)&amp;CHAR(9)&amp;CHAR(9)&amp;"&lt;attack&gt;"&amp;BS41&amp;"|"&amp;BT41&amp;"|"&amp;BU41&amp;"&lt;/attack&gt;")&amp;CHAR(13)&amp;CHAR(9)&amp;CHAR(9)&amp;"&lt;/"&amp;BP41&amp;"&gt;")</f>
        <v/>
      </c>
      <c r="J41" s="3" t="str">
        <f>IF(ISBLANK(BV41),"",CHAR(13)&amp;CHAR(9)&amp;CHAR(9)&amp;"&lt;"&amp;BW41&amp;"&gt;"&amp;CHAR(13)&amp;CHAR(9)&amp;CHAR(9)&amp;CHAR(9)&amp;"&lt;name&gt;"&amp;BV41&amp;"&lt;/name&gt;"&amp;CHAR(13)&amp;CHAR(9)&amp;CHAR(9)&amp;CHAR(9)&amp;"&lt;text&gt;"&amp;BX41&amp;"&lt;/text&gt;"&amp;IF(ISBLANK(BZ41),"",CHAR(13)&amp;CHAR(9)&amp;CHAR(9)&amp;CHAR(9)&amp;"&lt;attack&gt;"&amp;BZ41&amp;"|"&amp;CA41&amp;"|"&amp;CB41&amp;"&lt;/attack&gt;")&amp;CHAR(13)&amp;CHAR(9)&amp;CHAR(9)&amp;"&lt;/"&amp;BW41&amp;"&gt;")</f>
        <v/>
      </c>
      <c r="L41" s="3" t="s">
        <v>520</v>
      </c>
      <c r="M41" s="3" t="s">
        <v>275</v>
      </c>
      <c r="O41" s="4" t="s">
        <v>521</v>
      </c>
      <c r="P41" s="3" t="s">
        <v>2</v>
      </c>
      <c r="Q41" s="3">
        <v>11</v>
      </c>
      <c r="S41" s="3">
        <v>19</v>
      </c>
      <c r="T41" s="3">
        <v>30</v>
      </c>
      <c r="W41" s="3">
        <v>60</v>
      </c>
      <c r="Y41" s="3">
        <v>14</v>
      </c>
      <c r="Z41" s="3">
        <v>13</v>
      </c>
      <c r="AA41" s="3">
        <v>13</v>
      </c>
      <c r="AH41" s="9" t="s">
        <v>173</v>
      </c>
      <c r="AI41" s="12" t="str">
        <f>IF(ISBLANK(DruidAcrobatics),"",", Acrobatics +"&amp;DruidAcrobatics)&amp;IF(ISBLANK(DruidAnimalHandling),"",", Animal Handling +"&amp;DruidAnimalHandling)&amp;IF(ISBLANK(DruidArcana),"",", Arcana +"&amp;DruidArcana)&amp;IF(DruidAthletics+AE41=0,"",", Athletics +"&amp;MAX(DruidAthletics,AE41))&amp;IF(ISBLANK(DruidDeception),"",",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+"&amp;DruidNature)&amp;IF(DruidPerception+AF41=0,"",", Perception +"&amp;MAX(DruidPerception,AF41))&amp;IF(ISBLANK(DruidPerformance),"",", Performance +"&amp;DruidPerformance)&amp;IF(ISBLANK(DruidPersuasion),"",", Persuasion +"&amp;DruidPersuasion)&amp;IF(ISBLANK(DruidReligion),"",", Religion +"&amp;DruidReligion)&amp;IF(ISBLANK(DruidSleightofHand),"",", Sleight of Hand +"&amp;DruidSleightofHand)&amp;IF(DruidStealth+AG41=0,"",", Stealth +"&amp;MAX(DruidStealth,AG41))&amp;IF(ISBLANK(DruidSurvival),"",", Survival +"&amp;DruidSurvival)</f>
        <v/>
      </c>
      <c r="AJ41" s="1" t="e">
        <f>RIGHT(AI41,LEN(AI41)-2)</f>
        <v>#VALUE!</v>
      </c>
      <c r="AK4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M41" s="3" t="s">
        <v>176</v>
      </c>
      <c r="AZ41" s="9"/>
      <c r="BG41" s="9"/>
      <c r="BN41" s="9"/>
    </row>
    <row r="42" spans="1:92">
      <c r="A42" s="3" t="str">
        <f>IF(DruidLevel&lt;B42,"",CHAR(9)&amp;"&lt;monster&gt;"&amp;CHAR(13)&amp;CHAR(9)&amp;CHAR(9)&amp;"&lt;name&gt;"&amp;L42&amp;" (Wild Shape)&lt;/name&gt;"&amp;CHAR(13)&amp;CHAR(9)&amp;CHAR(9)&amp;"&lt;size&gt;"&amp;LEFT(P42,1)&amp;"&lt;/size&gt;"&amp;CHAR(13)&amp;CHAR(9)&amp;CHAR(9)&amp;"&lt;type&gt;"&amp;M42&amp;"&lt;/type&gt;"&amp;CHAR(13)&amp;CHAR(9)&amp;CHAR(9)&amp;"&lt;alignment&gt;"&amp;N42&amp;"&lt;/alignment&gt;"&amp;CHAR(13)&amp;CHAR(9)&amp;CHAR(9)&amp;"&lt;ac&gt;"&amp;Q42&amp;IF(ISBLANK(R42),""," ("&amp;R42&amp;")")&amp;"&lt;/ac&gt;"&amp;CHAR(13)&amp;CHAR(9)&amp;CHAR(9)&amp;"&lt;hp&gt;"&amp;S42&amp;"&lt;/hp&gt;"&amp;CHAR(13)&amp;CHAR(9)&amp;CHAR(9)&amp;"&lt;speed&gt;"&amp;E42&amp;"&lt;/speed&gt;"&amp;CHAR(13)&amp;CHAR(9)&amp;CHAR(9)&amp;"&lt;str&gt;"&amp;Y42&amp;"&lt;/str&gt;&lt;dex&gt;"&amp;Z42&amp;"&lt;/dex&gt;&lt;con&gt;"&amp;AA42&amp;"&lt;/con&gt;&lt;int&gt;"&amp;AB42&amp;"&lt;/int&gt;&lt;wis&gt;"&amp;AC42&amp;"&lt;/wis&gt;&lt;cha&gt;"&amp;AD42&amp;"&lt;/cha&gt;"&amp;CHAR(13)&amp;CHAR(9)&amp;CHAR(9)&amp;"&lt;save&gt;"&amp;AK42&amp;"&lt;/save&gt;"&amp;CHAR(13)&amp;CHAR(9)&amp;CHAR(9)&amp;"&lt;skill&gt;"&amp;AJ42&amp;"&lt;/skill&gt;"&amp;CHAR(13)&amp;CHAR(9)&amp;CHAR(9)&amp;"&lt;vulnerable&gt;"&amp;AO42&amp;"&lt;/vulnerable&gt;"&amp;CHAR(13)&amp;CHAR(9)&amp;CHAR(9)&amp;"&lt;resist&gt;"&amp;AP42&amp;"&lt;/resist&gt;"&amp;CHAR(13)&amp;CHAR(9)&amp;CHAR(9)&amp;"&lt;immune&gt;"&amp;AQ42&amp;"&lt;/immune&gt;"&amp;CHAR(13)&amp;CHAR(9)&amp;CHAR(9)&amp;"&lt;conditionImmune&gt;"&amp;AR42&amp;"&lt;/conditionImmune&gt;"&amp;CHAR(13)&amp;CHAR(9)&amp;CHAR(9)&amp;"&lt;senses&gt;"&amp;AM42&amp;"&lt;/senses&gt;"&amp;CHAR(13)&amp;CHAR(9)&amp;CHAR(9)&amp;"&lt;passive&gt;"&amp;AN42&amp;"&lt;/passive&gt;"&amp;CHAR(13)&amp;CHAR(9)&amp;CHAR(9)&amp;"&lt;languages&gt;"&amp;AS42&amp;"&lt;/languages&gt;"&amp;CHAR(13)&amp;CHAR(9)&amp;CHAR(9)&amp;"&lt;cr&gt;"&amp;O42&amp;"&lt;/cr&gt;"&amp;F42&amp;G42&amp;H42&amp;I42&amp;J42&amp;K42&amp;IF(C42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2" s="3">
        <f>IF(COTM=TRUE,MAX(CL42,CM42,CN42),MAX(CK42,CM42,CN42))</f>
        <v>4</v>
      </c>
      <c r="C42" s="11" t="str">
        <f>IF(COTM=FALSE,"",IF(DruidLevel&gt;5,"Y",""))</f>
        <v/>
      </c>
      <c r="D42" s="3" t="s">
        <v>173</v>
      </c>
      <c r="E42" s="3" t="str">
        <f>T42&amp;" ft."&amp;IF(U42+V42+W42+X42=0,"",", ")&amp;IF(ISBLANK(U42),"","burrow "&amp;U42&amp;" ft."&amp;IF(V42+W42+X42=0,"",", "))&amp;IF(ISBLANK(V42),"","climb "&amp;V42&amp;" ft."&amp;IF(W42+X42=0,"",", "))&amp;IF(ISBLANK(W42),"","fly "&amp;W42&amp;" ft."&amp;IF(X42=0,"",", "))&amp;IF(ISBLANK(X42),"","swim "&amp;X42&amp;" ft.")</f>
        <v>30 ft., swim 30 ft.</v>
      </c>
      <c r="F42" s="3" t="str">
        <f>IF(ISBLANK(AT42),"",CHAR(13)&amp;CHAR(9)&amp;CHAR(9)&amp;"&lt;"&amp;AU42&amp;"&gt;"&amp;CHAR(13)&amp;CHAR(9)&amp;CHAR(9)&amp;CHAR(9)&amp;"&lt;name&gt;"&amp;AT42&amp;"&lt;/name&gt;"&amp;CHAR(13)&amp;CHAR(9)&amp;CHAR(9)&amp;CHAR(9)&amp;"&lt;text&gt;"&amp;AV42&amp;"&lt;/text&gt;"&amp;IF(ISBLANK(AX42),"",CHAR(13)&amp;CHAR(9)&amp;CHAR(9)&amp;CHAR(9)&amp;"&lt;attack&gt;"&amp;AX42&amp;"|"&amp;AY42&amp;"|"&amp;AZ42&amp;"&lt;/attack&gt;")&amp;CHAR(13)&amp;CHAR(9)&amp;CHAR(9)&amp;"&lt;/"&amp;AU42&amp;"&gt;")</f>
        <v>_x000D_		&lt;trait&gt;_x000D_			&lt;name&gt;Amphibious&lt;/name&gt;_x000D_			&lt;text&gt;The frog can breathe air and water&lt;/text&gt;_x000D_		&lt;/trait&gt;</v>
      </c>
      <c r="G42" s="3" t="str">
        <f>IF(ISBLANK(BA42),"",CHAR(13)&amp;CHAR(9)&amp;CHAR(9)&amp;"&lt;"&amp;BB42&amp;"&gt;"&amp;CHAR(13)&amp;CHAR(9)&amp;CHAR(9)&amp;CHAR(9)&amp;"&lt;name&gt;"&amp;BA42&amp;"&lt;/name&gt;"&amp;CHAR(13)&amp;CHAR(9)&amp;CHAR(9)&amp;CHAR(9)&amp;"&lt;text&gt;"&amp;BC42&amp;"&lt;/text&gt;"&amp;IF(ISBLANK(BE42),"",CHAR(13)&amp;CHAR(9)&amp;CHAR(9)&amp;CHAR(9)&amp;"&lt;attack&gt;"&amp;BE42&amp;"|"&amp;BF42&amp;"|"&amp;BG42&amp;"&lt;/attack&gt;")&amp;CHAR(13)&amp;CHAR(9)&amp;CHAR(9)&amp;"&lt;/"&amp;BB42&amp;"&gt;")</f>
        <v>_x000D_		&lt;trait&gt;_x000D_			&lt;name&gt;Standing Leap&lt;/name&gt;_x000D_			&lt;text&gt;The frog's long jump is up to 20 feet and its high jump is up to 10 feet, with or without a running start.&lt;/text&gt;_x000D_		&lt;/trait&gt;</v>
      </c>
      <c r="H42" s="3" t="str">
        <f>IF(ISBLANK(BH42),"",CHAR(13)&amp;CHAR(9)&amp;CHAR(9)&amp;"&lt;"&amp;BI42&amp;"&gt;"&amp;CHAR(13)&amp;CHAR(9)&amp;CHAR(9)&amp;CHAR(9)&amp;"&lt;name&gt;"&amp;BH42&amp;"&lt;/name&gt;"&amp;CHAR(13)&amp;CHAR(9)&amp;CHAR(9)&amp;CHAR(9)&amp;"&lt;text&gt;"&amp;BJ42&amp;"&lt;/text&gt;"&amp;IF(ISBLANK(BL42),"",CHAR(13)&amp;CHAR(9)&amp;CHAR(9)&amp;CHAR(9)&amp;"&lt;attack&gt;"&amp;BL42&amp;"|"&amp;BM42&amp;"|"&amp;BN42&amp;"&lt;/attack&gt;")&amp;CHAR(13)&amp;CHAR(9)&amp;CHAR(9)&amp;"&lt;/"&amp;BI42&amp;"&gt;")</f>
        <v>_x000D_		&lt;action&gt;_x000D_			&lt;name&gt;Bite&lt;/name&gt;_x000D_			&lt;text&gt;Melee Weapon Attack: +3 to hit, reach 5 ft., one target. Hit: 4 (1d6+1) piercing damage, and the target is grappled (escape DC 11). Until this grapple ends, the target is restrained, and the frog can't bite another target.&lt;/text&gt;_x000D_			&lt;attack&gt;Bite|3|1d6+1&lt;/attack&gt;_x000D_		&lt;/action&gt;</v>
      </c>
      <c r="I42" s="3" t="str">
        <f>IF(ISBLANK(BO42),"",CHAR(13)&amp;CHAR(9)&amp;CHAR(9)&amp;"&lt;"&amp;BP42&amp;"&gt;"&amp;CHAR(13)&amp;CHAR(9)&amp;CHAR(9)&amp;CHAR(9)&amp;"&lt;name&gt;"&amp;BO42&amp;"&lt;/name&gt;"&amp;CHAR(13)&amp;CHAR(9)&amp;CHAR(9)&amp;CHAR(9)&amp;"&lt;text&gt;"&amp;BQ42&amp;"&lt;/text&gt;"&amp;IF(ISBLANK(BS42),"",CHAR(13)&amp;CHAR(9)&amp;CHAR(9)&amp;CHAR(9)&amp;"&lt;attack&gt;"&amp;BS42&amp;"|"&amp;BT42&amp;"|"&amp;BU42&amp;"&lt;/attack&gt;")&amp;CHAR(13)&amp;CHAR(9)&amp;CHAR(9)&amp;"&lt;/"&amp;BP42&amp;"&gt;")</f>
        <v>_x000D_		&lt;action&gt;_x000D_			&lt;name&gt;Swallow&lt;/name&gt;_x000D_			&lt;text&gt;The frog makes one bite attack against a Small or smaller target it is grappling. If the attack hits, the target is swallowed, and the grapple ends. The swallowed target is blinded and restrained, it has total cover against attacks and other effects outside the frog, and it takes 5 (2d4) acid damage at the start of each of the frog's turns. The frog can have only one target swallowed at a time. If the frog dies, a swallowed creature is no longer restrained by it and can escape from the corpse using 5 feet of movement, exiting prone.&lt;/text&gt;_x000D_		&lt;/action&gt;</v>
      </c>
      <c r="J42" s="3" t="str">
        <f>IF(ISBLANK(BV42),"",CHAR(13)&amp;CHAR(9)&amp;CHAR(9)&amp;"&lt;"&amp;BW42&amp;"&gt;"&amp;CHAR(13)&amp;CHAR(9)&amp;CHAR(9)&amp;CHAR(9)&amp;"&lt;name&gt;"&amp;BV42&amp;"&lt;/name&gt;"&amp;CHAR(13)&amp;CHAR(9)&amp;CHAR(9)&amp;CHAR(9)&amp;"&lt;text&gt;"&amp;BX42&amp;"&lt;/text&gt;"&amp;IF(ISBLANK(BZ42),"",CHAR(13)&amp;CHAR(9)&amp;CHAR(9)&amp;CHAR(9)&amp;"&lt;attack&gt;"&amp;BZ42&amp;"|"&amp;CA42&amp;"|"&amp;CB42&amp;"&lt;/attack&gt;")&amp;CHAR(13)&amp;CHAR(9)&amp;CHAR(9)&amp;"&lt;/"&amp;BW42&amp;"&gt;")</f>
        <v/>
      </c>
      <c r="K42" s="3" t="str">
        <f>IF(ISBLANK(CC42),"",CHAR(13)&amp;CHAR(9)&amp;CHAR(9)&amp;"&lt;"&amp;CD42&amp;"&gt;"&amp;CHAR(13)&amp;CHAR(9)&amp;CHAR(9)&amp;CHAR(9)&amp;"&lt;name&gt;"&amp;CC42&amp;"&lt;/name&gt;"&amp;CHAR(13)&amp;CHAR(9)&amp;CHAR(9)&amp;CHAR(9)&amp;"&lt;text&gt;"&amp;CE42&amp;"&lt;/text&gt;"&amp;IF(ISBLANK(CG42),"",CHAR(13)&amp;CHAR(9)&amp;CHAR(9)&amp;CHAR(9)&amp;"&lt;attack&gt;"&amp;CG42&amp;"|"&amp;CH42&amp;"|"&amp;CI42&amp;"&lt;/attack&gt;")&amp;CHAR(13)&amp;CHAR(9)&amp;CHAR(9)&amp;"&lt;/"&amp;CD42&amp;"&gt;")</f>
        <v/>
      </c>
      <c r="L42" s="1" t="s">
        <v>68</v>
      </c>
      <c r="M42" s="1" t="s">
        <v>275</v>
      </c>
      <c r="N42" s="1">
        <f>DruidAlignment</f>
        <v>0</v>
      </c>
      <c r="O42" s="2" t="s">
        <v>208</v>
      </c>
      <c r="P42" s="1" t="s">
        <v>17</v>
      </c>
      <c r="Q42" s="1">
        <v>11</v>
      </c>
      <c r="R42" s="1"/>
      <c r="S42" s="1">
        <v>18</v>
      </c>
      <c r="T42" s="1">
        <v>30</v>
      </c>
      <c r="X42" s="1">
        <v>30</v>
      </c>
      <c r="Y42" s="1">
        <v>12</v>
      </c>
      <c r="Z42" s="1">
        <v>13</v>
      </c>
      <c r="AA42" s="1">
        <v>11</v>
      </c>
      <c r="AB42" s="10">
        <f>DruidInt</f>
        <v>0</v>
      </c>
      <c r="AC42" s="10">
        <f>DruidWis</f>
        <v>0</v>
      </c>
      <c r="AD42" s="10">
        <f>DruidCha</f>
        <v>0</v>
      </c>
      <c r="AE42" s="12"/>
      <c r="AF42" s="12">
        <v>3</v>
      </c>
      <c r="AG42" s="12">
        <v>3</v>
      </c>
      <c r="AH42" s="12" t="s">
        <v>173</v>
      </c>
      <c r="AI42" s="12" t="str">
        <f>IF(ISBLANK(DruidAcrobatics),"",", Acrobatics +"&amp;DruidAcrobatics)&amp;IF(ISBLANK(DruidAnimalHandling),"",", Animal Handling +"&amp;DruidAnimalHandling)&amp;IF(ISBLANK(DruidArcana),"",", Arcana +"&amp;DruidArcana)&amp;IF(DruidAthletics+AE42=0,"",", Athletics +"&amp;MAX(DruidAthletics,AE42))&amp;IF(ISBLANK(DruidDeception),"",",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+"&amp;DruidNature)&amp;IF(DruidPerception+AF42=0,"",", Perception +"&amp;MAX(DruidPerception,AF42))&amp;IF(ISBLANK(DruidPerformance),"",", Performance +"&amp;DruidPerformance)&amp;IF(ISBLANK(DruidPersuasion),"",", Persuasion +"&amp;DruidPersuasion)&amp;IF(ISBLANK(DruidReligion),"",", Religion +"&amp;DruidReligion)&amp;IF(ISBLANK(DruidSleightofHand),"",", Sleight of Hand +"&amp;DruidSleightofHand)&amp;IF(DruidStealth+AG42=0,"",", Stealth +"&amp;MAX(DruidStealth,AG42))&amp;IF(ISBLANK(DruidSurvival),"",", Survival +"&amp;DruidSurvival)</f>
        <v>, Perception +3, Stealth +3</v>
      </c>
      <c r="AJ42" s="1" t="str">
        <f>RIGHT(AI42,LEN(AI42)-2)</f>
        <v>Perception +3, Stealth +3</v>
      </c>
      <c r="AK4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2" s="1" t="s">
        <v>173</v>
      </c>
      <c r="AM42" s="1" t="s">
        <v>178</v>
      </c>
      <c r="AN42" s="3">
        <f>IF(DruidPerception+AF42=0,10+(ROUNDDOWN((AC42-10)/2,0)),10+MAX(DruidPerception,AF42))</f>
        <v>13</v>
      </c>
      <c r="AO42" s="1"/>
      <c r="AP42" s="1"/>
      <c r="AQ42" s="1"/>
      <c r="AR42" s="1"/>
      <c r="AS42" s="1"/>
      <c r="AT42" s="3" t="s">
        <v>59</v>
      </c>
      <c r="AU42" s="3" t="s">
        <v>148</v>
      </c>
      <c r="AV42" s="3" t="s">
        <v>259</v>
      </c>
      <c r="AW42" s="3" t="s">
        <v>173</v>
      </c>
      <c r="AZ42" s="3"/>
      <c r="BA42" s="3" t="s">
        <v>273</v>
      </c>
      <c r="BB42" s="3" t="s">
        <v>148</v>
      </c>
      <c r="BC42" s="3" t="s">
        <v>483</v>
      </c>
      <c r="BD42" s="3" t="s">
        <v>173</v>
      </c>
      <c r="BG42" s="3"/>
      <c r="BH42" s="3" t="s">
        <v>161</v>
      </c>
      <c r="BI42" s="3" t="s">
        <v>150</v>
      </c>
      <c r="BJ42" s="3" t="s">
        <v>488</v>
      </c>
      <c r="BK42" s="3" t="s">
        <v>173</v>
      </c>
      <c r="BL42" s="3" t="s">
        <v>161</v>
      </c>
      <c r="BM42" s="3">
        <v>3</v>
      </c>
      <c r="BN42" s="3" t="s">
        <v>227</v>
      </c>
      <c r="BO42" s="3" t="s">
        <v>298</v>
      </c>
      <c r="BP42" s="3" t="s">
        <v>150</v>
      </c>
      <c r="BQ42" s="3" t="s">
        <v>489</v>
      </c>
      <c r="BR42" s="3" t="s">
        <v>173</v>
      </c>
      <c r="BY42" s="3" t="s">
        <v>173</v>
      </c>
      <c r="CJ42" s="6">
        <v>0.25</v>
      </c>
      <c r="CK42" s="6">
        <f>IF(CJ42&lt;0.26,2,IF(CJ42&lt;0.51,4,IF(CJ42&lt;1.1,8,99)))</f>
        <v>2</v>
      </c>
      <c r="CL42" s="3">
        <f>IF(M42="Elemental",10,IF(CJ42&lt;2,2,CJ42*3))</f>
        <v>2</v>
      </c>
      <c r="CM42" s="3">
        <f>IF(W42&gt;0,8,0)</f>
        <v>0</v>
      </c>
      <c r="CN42" s="3">
        <f>IF(X42&gt;0,4,0)</f>
        <v>4</v>
      </c>
    </row>
    <row r="43" spans="1:92">
      <c r="A43" s="3" t="str">
        <f>IF(DruidLevel&lt;B43,"",CHAR(9)&amp;"&lt;monster&gt;"&amp;CHAR(13)&amp;CHAR(9)&amp;CHAR(9)&amp;"&lt;name&gt;"&amp;L43&amp;" (Wild Shape)&lt;/name&gt;"&amp;CHAR(13)&amp;CHAR(9)&amp;CHAR(9)&amp;"&lt;size&gt;"&amp;LEFT(P43,1)&amp;"&lt;/size&gt;"&amp;CHAR(13)&amp;CHAR(9)&amp;CHAR(9)&amp;"&lt;type&gt;"&amp;M43&amp;"&lt;/type&gt;"&amp;CHAR(13)&amp;CHAR(9)&amp;CHAR(9)&amp;"&lt;alignment&gt;"&amp;N43&amp;"&lt;/alignment&gt;"&amp;CHAR(13)&amp;CHAR(9)&amp;CHAR(9)&amp;"&lt;ac&gt;"&amp;Q43&amp;IF(ISBLANK(R43),""," ("&amp;R43&amp;")")&amp;"&lt;/ac&gt;"&amp;CHAR(13)&amp;CHAR(9)&amp;CHAR(9)&amp;"&lt;hp&gt;"&amp;S43&amp;"&lt;/hp&gt;"&amp;CHAR(13)&amp;CHAR(9)&amp;CHAR(9)&amp;"&lt;speed&gt;"&amp;E43&amp;"&lt;/speed&gt;"&amp;CHAR(13)&amp;CHAR(9)&amp;CHAR(9)&amp;"&lt;str&gt;"&amp;Y43&amp;"&lt;/str&gt;&lt;dex&gt;"&amp;Z43&amp;"&lt;/dex&gt;&lt;con&gt;"&amp;AA43&amp;"&lt;/con&gt;&lt;int&gt;"&amp;AB43&amp;"&lt;/int&gt;&lt;wis&gt;"&amp;AC43&amp;"&lt;/wis&gt;&lt;cha&gt;"&amp;AD43&amp;"&lt;/cha&gt;"&amp;CHAR(13)&amp;CHAR(9)&amp;CHAR(9)&amp;"&lt;save&gt;"&amp;AK43&amp;"&lt;/save&gt;"&amp;CHAR(13)&amp;CHAR(9)&amp;CHAR(9)&amp;"&lt;skill&gt;"&amp;AJ43&amp;"&lt;/skill&gt;"&amp;CHAR(13)&amp;CHAR(9)&amp;CHAR(9)&amp;"&lt;vulnerable&gt;"&amp;AO43&amp;"&lt;/vulnerable&gt;"&amp;CHAR(13)&amp;CHAR(9)&amp;CHAR(9)&amp;"&lt;resist&gt;"&amp;AP43&amp;"&lt;/resist&gt;"&amp;CHAR(13)&amp;CHAR(9)&amp;CHAR(9)&amp;"&lt;immune&gt;"&amp;AQ43&amp;"&lt;/immune&gt;"&amp;CHAR(13)&amp;CHAR(9)&amp;CHAR(9)&amp;"&lt;conditionImmune&gt;"&amp;AR43&amp;"&lt;/conditionImmune&gt;"&amp;CHAR(13)&amp;CHAR(9)&amp;CHAR(9)&amp;"&lt;senses&gt;"&amp;AM43&amp;"&lt;/senses&gt;"&amp;CHAR(13)&amp;CHAR(9)&amp;CHAR(9)&amp;"&lt;passive&gt;"&amp;AN43&amp;"&lt;/passive&gt;"&amp;CHAR(13)&amp;CHAR(9)&amp;CHAR(9)&amp;"&lt;languages&gt;"&amp;AS43&amp;"&lt;/languages&gt;"&amp;CHAR(13)&amp;CHAR(9)&amp;CHAR(9)&amp;"&lt;cr&gt;"&amp;O43&amp;"&lt;/cr&gt;"&amp;F43&amp;G43&amp;H43&amp;I43&amp;J43&amp;K43&amp;IF(C43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3" s="3">
        <f>IF(COTM=TRUE,MAX(CL43,CM43,CN43),MAX(CK43,CM43,CN43))</f>
        <v>4</v>
      </c>
      <c r="C43" s="11" t="str">
        <f>IF(COTM=FALSE,"",IF(DruidLevel&gt;5,"Y",""))</f>
        <v/>
      </c>
      <c r="D43" s="3" t="s">
        <v>173</v>
      </c>
      <c r="E43" s="3" t="str">
        <f>T43&amp;" ft."&amp;IF(U43+V43+W43+X43=0,"",", ")&amp;IF(ISBLANK(U43),"","burrow "&amp;U43&amp;" ft."&amp;IF(V43+W43+X43=0,"",", "))&amp;IF(ISBLANK(V43),"","climb "&amp;V43&amp;" ft."&amp;IF(W43+X43=0,"",", "))&amp;IF(ISBLANK(W43),"","fly "&amp;W43&amp;" ft."&amp;IF(X43=0,"",", "))&amp;IF(ISBLANK(X43),"","swim "&amp;X43&amp;" ft.")</f>
        <v>40 ft.</v>
      </c>
      <c r="F43" s="3" t="str">
        <f>IF(ISBLANK(AT43),"",CHAR(13)&amp;CHAR(9)&amp;CHAR(9)&amp;"&lt;"&amp;AU43&amp;"&gt;"&amp;CHAR(13)&amp;CHAR(9)&amp;CHAR(9)&amp;CHAR(9)&amp;"&lt;name&gt;"&amp;AT43&amp;"&lt;/name&gt;"&amp;CHAR(13)&amp;CHAR(9)&amp;CHAR(9)&amp;CHAR(9)&amp;"&lt;text&gt;"&amp;AV43&amp;"&lt;/text&gt;"&amp;IF(ISBLANK(AX43),"",CHAR(13)&amp;CHAR(9)&amp;CHAR(9)&amp;CHAR(9)&amp;"&lt;attack&gt;"&amp;AX43&amp;"|"&amp;AY43&amp;"|"&amp;AZ43&amp;"&lt;/attack&gt;")&amp;CHAR(13)&amp;CHAR(9)&amp;CHAR(9)&amp;"&lt;/"&amp;AU43&amp;"&gt;")</f>
        <v>_x000D_		&lt;trait&gt;_x000D_			&lt;name&gt;Charge&lt;/name&gt;_x000D_			&lt;text&gt;If the goat moves at least 20 feet straight toward a target and then hits it with a ram attack on the same turn, the target takes an extra 5 (2d4) bludgeoning damage. If the target is a creature, it must succeed on a DC 13 Strength saving throw or be knocked prone.&lt;/text&gt;_x000D_		&lt;/trait&gt;</v>
      </c>
      <c r="G43" s="3" t="str">
        <f>IF(ISBLANK(BA43),"",CHAR(13)&amp;CHAR(9)&amp;CHAR(9)&amp;"&lt;"&amp;BB43&amp;"&gt;"&amp;CHAR(13)&amp;CHAR(9)&amp;CHAR(9)&amp;CHAR(9)&amp;"&lt;name&gt;"&amp;BA43&amp;"&lt;/name&gt;"&amp;CHAR(13)&amp;CHAR(9)&amp;CHAR(9)&amp;CHAR(9)&amp;"&lt;text&gt;"&amp;BC43&amp;"&lt;/text&gt;"&amp;IF(ISBLANK(BE43),"",CHAR(13)&amp;CHAR(9)&amp;CHAR(9)&amp;CHAR(9)&amp;"&lt;attack&gt;"&amp;BE43&amp;"|"&amp;BF43&amp;"|"&amp;BG43&amp;"&lt;/attack&gt;")&amp;CHAR(13)&amp;CHAR(9)&amp;CHAR(9)&amp;"&lt;/"&amp;BB43&amp;"&gt;")</f>
        <v>_x000D_		&lt;trait&gt;_x000D_			&lt;name&gt;Sure-Footed&lt;/name&gt;_x000D_			&lt;text&gt;The goat has advantage on Strength and Dexterity saving throws made against effects that would knock it prone.&lt;/text&gt;_x000D_		&lt;/trait&gt;</v>
      </c>
      <c r="H43" s="3" t="str">
        <f>IF(ISBLANK(BH43),"",CHAR(13)&amp;CHAR(9)&amp;CHAR(9)&amp;"&lt;"&amp;BI43&amp;"&gt;"&amp;CHAR(13)&amp;CHAR(9)&amp;CHAR(9)&amp;CHAR(9)&amp;"&lt;name&gt;"&amp;BH43&amp;"&lt;/name&gt;"&amp;CHAR(13)&amp;CHAR(9)&amp;CHAR(9)&amp;CHAR(9)&amp;"&lt;text&gt;"&amp;BJ43&amp;"&lt;/text&gt;"&amp;IF(ISBLANK(BL43),"",CHAR(13)&amp;CHAR(9)&amp;CHAR(9)&amp;CHAR(9)&amp;"&lt;attack&gt;"&amp;BL43&amp;"|"&amp;BM43&amp;"|"&amp;BN43&amp;"&lt;/attack&gt;")&amp;CHAR(13)&amp;CHAR(9)&amp;CHAR(9)&amp;"&lt;/"&amp;BI43&amp;"&gt;")</f>
        <v>_x000D_		&lt;action&gt;_x000D_			&lt;name&gt;Ram&lt;/name&gt;_x000D_			&lt;text&gt;Melee Weapon Attack: +5 to hit, reach 5 ft., one target. Hit: 8 (2d4+3) bludgeoning damage.&lt;/text&gt;_x000D_			&lt;attack&gt;Ram|5|2d4+3&lt;/attack&gt;_x000D_		&lt;/action&gt;</v>
      </c>
      <c r="I43" s="3" t="str">
        <f>IF(ISBLANK(BO43),"",CHAR(13)&amp;CHAR(9)&amp;CHAR(9)&amp;"&lt;"&amp;BP43&amp;"&gt;"&amp;CHAR(13)&amp;CHAR(9)&amp;CHAR(9)&amp;CHAR(9)&amp;"&lt;name&gt;"&amp;BO43&amp;"&lt;/name&gt;"&amp;CHAR(13)&amp;CHAR(9)&amp;CHAR(9)&amp;CHAR(9)&amp;"&lt;text&gt;"&amp;BQ43&amp;"&lt;/text&gt;"&amp;IF(ISBLANK(BS43),"",CHAR(13)&amp;CHAR(9)&amp;CHAR(9)&amp;CHAR(9)&amp;"&lt;attack&gt;"&amp;BS43&amp;"|"&amp;BT43&amp;"|"&amp;BU43&amp;"&lt;/attack&gt;")&amp;CHAR(13)&amp;CHAR(9)&amp;CHAR(9)&amp;"&lt;/"&amp;BP43&amp;"&gt;")</f>
        <v/>
      </c>
      <c r="J43" s="3" t="str">
        <f>IF(ISBLANK(BV43),"",CHAR(13)&amp;CHAR(9)&amp;CHAR(9)&amp;"&lt;"&amp;BW43&amp;"&gt;"&amp;CHAR(13)&amp;CHAR(9)&amp;CHAR(9)&amp;CHAR(9)&amp;"&lt;name&gt;"&amp;BV43&amp;"&lt;/name&gt;"&amp;CHAR(13)&amp;CHAR(9)&amp;CHAR(9)&amp;CHAR(9)&amp;"&lt;text&gt;"&amp;BX43&amp;"&lt;/text&gt;"&amp;IF(ISBLANK(BZ43),"",CHAR(13)&amp;CHAR(9)&amp;CHAR(9)&amp;CHAR(9)&amp;"&lt;attack&gt;"&amp;BZ43&amp;"|"&amp;CA43&amp;"|"&amp;CB43&amp;"&lt;/attack&gt;")&amp;CHAR(13)&amp;CHAR(9)&amp;CHAR(9)&amp;"&lt;/"&amp;BW43&amp;"&gt;")</f>
        <v/>
      </c>
      <c r="K43" s="3" t="str">
        <f>IF(ISBLANK(CC43),"",CHAR(13)&amp;CHAR(9)&amp;CHAR(9)&amp;"&lt;"&amp;CD43&amp;"&gt;"&amp;CHAR(13)&amp;CHAR(9)&amp;CHAR(9)&amp;CHAR(9)&amp;"&lt;name&gt;"&amp;CC43&amp;"&lt;/name&gt;"&amp;CHAR(13)&amp;CHAR(9)&amp;CHAR(9)&amp;CHAR(9)&amp;"&lt;text&gt;"&amp;CE43&amp;"&lt;/text&gt;"&amp;IF(ISBLANK(CG43),"",CHAR(13)&amp;CHAR(9)&amp;CHAR(9)&amp;CHAR(9)&amp;"&lt;attack&gt;"&amp;CG43&amp;"|"&amp;CH43&amp;"|"&amp;CI43&amp;"&lt;/attack&gt;")&amp;CHAR(13)&amp;CHAR(9)&amp;CHAR(9)&amp;"&lt;/"&amp;CD43&amp;"&gt;")</f>
        <v/>
      </c>
      <c r="L43" s="1" t="s">
        <v>47</v>
      </c>
      <c r="M43" s="1" t="s">
        <v>275</v>
      </c>
      <c r="N43" s="1">
        <f>DruidAlignment</f>
        <v>0</v>
      </c>
      <c r="O43" s="2" t="s">
        <v>206</v>
      </c>
      <c r="P43" s="1" t="s">
        <v>2</v>
      </c>
      <c r="Q43" s="1">
        <v>11</v>
      </c>
      <c r="R43" s="1" t="s">
        <v>405</v>
      </c>
      <c r="S43" s="1">
        <v>19</v>
      </c>
      <c r="T43" s="1">
        <v>40</v>
      </c>
      <c r="Y43" s="1">
        <v>17</v>
      </c>
      <c r="Z43" s="1">
        <v>11</v>
      </c>
      <c r="AA43" s="1">
        <v>12</v>
      </c>
      <c r="AB43" s="10">
        <f>DruidInt</f>
        <v>0</v>
      </c>
      <c r="AC43" s="10">
        <f>DruidWis</f>
        <v>0</v>
      </c>
      <c r="AD43" s="10">
        <f>DruidCha</f>
        <v>0</v>
      </c>
      <c r="AE43" s="12"/>
      <c r="AF43" s="12"/>
      <c r="AG43" s="12"/>
      <c r="AH43" s="12" t="s">
        <v>173</v>
      </c>
      <c r="AI43" s="12" t="str">
        <f>IF(ISBLANK(DruidAcrobatics),"",", Acrobatics +"&amp;DruidAcrobatics)&amp;IF(ISBLANK(DruidAnimalHandling),"",", Animal Handling +"&amp;DruidAnimalHandling)&amp;IF(ISBLANK(DruidArcana),"",", Arcana +"&amp;DruidArcana)&amp;IF(DruidAthletics+AE43=0,"",", Athletics +"&amp;MAX(DruidAthletics,AE43))&amp;IF(ISBLANK(DruidDeception),"",",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+"&amp;DruidNature)&amp;IF(DruidPerception+AF43=0,"",", Perception +"&amp;MAX(DruidPerception,AF43))&amp;IF(ISBLANK(DruidPerformance),"",", Performance +"&amp;DruidPerformance)&amp;IF(ISBLANK(DruidPersuasion),"",", Persuasion +"&amp;DruidPersuasion)&amp;IF(ISBLANK(DruidReligion),"",", Religion +"&amp;DruidReligion)&amp;IF(ISBLANK(DruidSleightofHand),"",", Sleight of Hand +"&amp;DruidSleightofHand)&amp;IF(DruidStealth+AG43=0,"",", Stealth +"&amp;MAX(DruidStealth,AG43))&amp;IF(ISBLANK(DruidSurvival),"",", Survival +"&amp;DruidSurvival)</f>
        <v/>
      </c>
      <c r="AJ43" s="1" t="e">
        <f>RIGHT(AI43,LEN(AI43)-2)</f>
        <v>#VALUE!</v>
      </c>
      <c r="AK4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3" s="1" t="s">
        <v>173</v>
      </c>
      <c r="AN43" s="3">
        <f>IF(DruidPerception+AF43=0,10+(ROUNDDOWN((AC43-10)/2,0)),10+MAX(DruidPerception,AF43))</f>
        <v>5</v>
      </c>
      <c r="AT43" s="3" t="s">
        <v>38</v>
      </c>
      <c r="AU43" s="3" t="s">
        <v>148</v>
      </c>
      <c r="AV43" s="3" t="s">
        <v>299</v>
      </c>
      <c r="AW43" s="3" t="s">
        <v>173</v>
      </c>
      <c r="AZ43" s="3"/>
      <c r="BA43" s="3" t="s">
        <v>300</v>
      </c>
      <c r="BB43" s="3" t="s">
        <v>148</v>
      </c>
      <c r="BC43" s="3" t="s">
        <v>301</v>
      </c>
      <c r="BD43" s="3" t="s">
        <v>173</v>
      </c>
      <c r="BG43" s="3"/>
      <c r="BH43" s="3" t="s">
        <v>252</v>
      </c>
      <c r="BI43" s="3" t="s">
        <v>150</v>
      </c>
      <c r="BJ43" s="3" t="s">
        <v>453</v>
      </c>
      <c r="BK43" s="3" t="s">
        <v>173</v>
      </c>
      <c r="BL43" s="3" t="s">
        <v>252</v>
      </c>
      <c r="BM43" s="3">
        <v>5</v>
      </c>
      <c r="BN43" s="3" t="s">
        <v>253</v>
      </c>
      <c r="BR43" s="3" t="s">
        <v>173</v>
      </c>
      <c r="BY43" s="3" t="s">
        <v>173</v>
      </c>
      <c r="CJ43" s="6">
        <v>0.5</v>
      </c>
      <c r="CK43" s="6">
        <f>IF(CJ43&lt;0.26,2,IF(CJ43&lt;0.51,4,IF(CJ43&lt;1.1,8,99)))</f>
        <v>4</v>
      </c>
      <c r="CL43" s="3">
        <f>IF(M43="Elemental",10,IF(CJ43&lt;2,2,CJ43*3))</f>
        <v>2</v>
      </c>
      <c r="CM43" s="3">
        <f>IF(W43&gt;0,8,0)</f>
        <v>0</v>
      </c>
      <c r="CN43" s="3">
        <f>IF(X43&gt;0,4,0)</f>
        <v>0</v>
      </c>
    </row>
    <row r="44" spans="1:92">
      <c r="A44" s="3" t="str">
        <f>IF(DruidLevel&lt;B44,"",CHAR(9)&amp;"&lt;monster&gt;"&amp;CHAR(13)&amp;CHAR(9)&amp;CHAR(9)&amp;"&lt;name&gt;"&amp;L44&amp;" (Wild Shape)&lt;/name&gt;"&amp;CHAR(13)&amp;CHAR(9)&amp;CHAR(9)&amp;"&lt;size&gt;"&amp;LEFT(P44,1)&amp;"&lt;/size&gt;"&amp;CHAR(13)&amp;CHAR(9)&amp;CHAR(9)&amp;"&lt;type&gt;"&amp;M44&amp;"&lt;/type&gt;"&amp;CHAR(13)&amp;CHAR(9)&amp;CHAR(9)&amp;"&lt;alignment&gt;"&amp;N44&amp;"&lt;/alignment&gt;"&amp;CHAR(13)&amp;CHAR(9)&amp;CHAR(9)&amp;"&lt;ac&gt;"&amp;Q44&amp;IF(ISBLANK(R44),""," ("&amp;R44&amp;")")&amp;"&lt;/ac&gt;"&amp;CHAR(13)&amp;CHAR(9)&amp;CHAR(9)&amp;"&lt;hp&gt;"&amp;S44&amp;"&lt;/hp&gt;"&amp;CHAR(13)&amp;CHAR(9)&amp;CHAR(9)&amp;"&lt;speed&gt;"&amp;E44&amp;"&lt;/speed&gt;"&amp;CHAR(13)&amp;CHAR(9)&amp;CHAR(9)&amp;"&lt;str&gt;"&amp;Y44&amp;"&lt;/str&gt;&lt;dex&gt;"&amp;Z44&amp;"&lt;/dex&gt;&lt;con&gt;"&amp;AA44&amp;"&lt;/con&gt;&lt;int&gt;"&amp;AB44&amp;"&lt;/int&gt;&lt;wis&gt;"&amp;AC44&amp;"&lt;/wis&gt;&lt;cha&gt;"&amp;AD44&amp;"&lt;/cha&gt;"&amp;CHAR(13)&amp;CHAR(9)&amp;CHAR(9)&amp;"&lt;save&gt;"&amp;AK44&amp;"&lt;/save&gt;"&amp;CHAR(13)&amp;CHAR(9)&amp;CHAR(9)&amp;"&lt;skill&gt;"&amp;AJ44&amp;"&lt;/skill&gt;"&amp;CHAR(13)&amp;CHAR(9)&amp;CHAR(9)&amp;"&lt;vulnerable&gt;"&amp;AO44&amp;"&lt;/vulnerable&gt;"&amp;CHAR(13)&amp;CHAR(9)&amp;CHAR(9)&amp;"&lt;resist&gt;"&amp;AP44&amp;"&lt;/resist&gt;"&amp;CHAR(13)&amp;CHAR(9)&amp;CHAR(9)&amp;"&lt;immune&gt;"&amp;AQ44&amp;"&lt;/immune&gt;"&amp;CHAR(13)&amp;CHAR(9)&amp;CHAR(9)&amp;"&lt;conditionImmune&gt;"&amp;AR44&amp;"&lt;/conditionImmune&gt;"&amp;CHAR(13)&amp;CHAR(9)&amp;CHAR(9)&amp;"&lt;senses&gt;"&amp;AM44&amp;"&lt;/senses&gt;"&amp;CHAR(13)&amp;CHAR(9)&amp;CHAR(9)&amp;"&lt;passive&gt;"&amp;AN44&amp;"&lt;/passive&gt;"&amp;CHAR(13)&amp;CHAR(9)&amp;CHAR(9)&amp;"&lt;languages&gt;"&amp;AS44&amp;"&lt;/languages&gt;"&amp;CHAR(13)&amp;CHAR(9)&amp;CHAR(9)&amp;"&lt;cr&gt;"&amp;O44&amp;"&lt;/cr&gt;"&amp;F44&amp;G44&amp;H44&amp;I44&amp;J44&amp;K44&amp;IF(C44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4" s="3">
        <f>IF(COTM=TRUE,MAX(CL44,CM44,CN44),MAX(CK44,CM44,CN44))</f>
        <v>8</v>
      </c>
      <c r="C44" s="11" t="str">
        <f>IF(COTM=FALSE,"",IF(DruidLevel&gt;5,"Y",""))</f>
        <v/>
      </c>
      <c r="D44" s="3" t="s">
        <v>173</v>
      </c>
      <c r="E44" s="3" t="str">
        <f>T44&amp;" ft."&amp;IF(U44+V44+W44+X44=0,"",", ")&amp;IF(ISBLANK(U44),"","burrow "&amp;U44&amp;" ft."&amp;IF(V44+W44+X44=0,"",", "))&amp;IF(ISBLANK(V44),"","climb "&amp;V44&amp;" ft."&amp;IF(W44+X44=0,"",", "))&amp;IF(ISBLANK(W44),"","fly "&amp;W44&amp;" ft."&amp;IF(X44=0,"",", "))&amp;IF(ISBLANK(X44),"","swim "&amp;X44&amp;" ft.")</f>
        <v>50 ft.</v>
      </c>
      <c r="F44" s="3" t="str">
        <f>IF(ISBLANK(AT44),"",CHAR(13)&amp;CHAR(9)&amp;CHAR(9)&amp;"&lt;"&amp;AU44&amp;"&gt;"&amp;CHAR(13)&amp;CHAR(9)&amp;CHAR(9)&amp;CHAR(9)&amp;"&lt;name&gt;"&amp;AT44&amp;"&lt;/name&gt;"&amp;CHAR(13)&amp;CHAR(9)&amp;CHAR(9)&amp;CHAR(9)&amp;"&lt;text&gt;"&amp;AV44&amp;"&lt;/text&gt;"&amp;IF(ISBLANK(AX44),"",CHAR(13)&amp;CHAR(9)&amp;CHAR(9)&amp;CHAR(9)&amp;"&lt;attack&gt;"&amp;AX44&amp;"|"&amp;AY44&amp;"|"&amp;AZ44&amp;"&lt;/attack&gt;")&amp;CHAR(13)&amp;CHAR(9)&amp;CHAR(9)&amp;"&lt;/"&amp;AU44&amp;"&gt;")</f>
        <v>_x000D_		&lt;trait&gt;_x000D_			&lt;name&gt;Rampage&lt;/name&gt;_x000D_			&lt;text&gt;When the hyena reduces a creature to 0 hit points with a melee attack on its turn, the hyena can take a bonus action to move up to half its speed and make a bite attack.&lt;/text&gt;_x000D_		&lt;/trait&gt;</v>
      </c>
      <c r="G44" s="3" t="str">
        <f>IF(ISBLANK(BA44),"",CHAR(13)&amp;CHAR(9)&amp;CHAR(9)&amp;"&lt;"&amp;BB44&amp;"&gt;"&amp;CHAR(13)&amp;CHAR(9)&amp;CHAR(9)&amp;CHAR(9)&amp;"&lt;name&gt;"&amp;BA44&amp;"&lt;/name&gt;"&amp;CHAR(13)&amp;CHAR(9)&amp;CHAR(9)&amp;CHAR(9)&amp;"&lt;text&gt;"&amp;BC44&amp;"&lt;/text&gt;"&amp;IF(ISBLANK(BE44),"",CHAR(13)&amp;CHAR(9)&amp;CHAR(9)&amp;CHAR(9)&amp;"&lt;attack&gt;"&amp;BE44&amp;"|"&amp;BF44&amp;"|"&amp;BG44&amp;"&lt;/attack&gt;")&amp;CHAR(13)&amp;CHAR(9)&amp;CHAR(9)&amp;"&lt;/"&amp;BB44&amp;"&gt;")</f>
        <v>_x000D_		&lt;action&gt;_x000D_			&lt;name&gt;Bite&lt;/name&gt;_x000D_			&lt;text&gt;Melee Weapon Attack: +5 to hit, reach 5 ft., one target. Hit: 10 (2d6+3) piercing damage.&lt;/text&gt;_x000D_			&lt;attack&gt;Bite|5|1d6+3&lt;/attack&gt;_x000D_		&lt;/action&gt;</v>
      </c>
      <c r="H44" s="3" t="str">
        <f>IF(ISBLANK(BH44),"",CHAR(13)&amp;CHAR(9)&amp;CHAR(9)&amp;"&lt;"&amp;BI44&amp;"&gt;"&amp;CHAR(13)&amp;CHAR(9)&amp;CHAR(9)&amp;CHAR(9)&amp;"&lt;name&gt;"&amp;BH44&amp;"&lt;/name&gt;"&amp;CHAR(13)&amp;CHAR(9)&amp;CHAR(9)&amp;CHAR(9)&amp;"&lt;text&gt;"&amp;BJ44&amp;"&lt;/text&gt;"&amp;IF(ISBLANK(BL44),"",CHAR(13)&amp;CHAR(9)&amp;CHAR(9)&amp;CHAR(9)&amp;"&lt;attack&gt;"&amp;BL44&amp;"|"&amp;BM44&amp;"|"&amp;BN44&amp;"&lt;/attack&gt;")&amp;CHAR(13)&amp;CHAR(9)&amp;CHAR(9)&amp;"&lt;/"&amp;BI44&amp;"&gt;")</f>
        <v/>
      </c>
      <c r="I44" s="3" t="str">
        <f>IF(ISBLANK(BO44),"",CHAR(13)&amp;CHAR(9)&amp;CHAR(9)&amp;"&lt;"&amp;BP44&amp;"&gt;"&amp;CHAR(13)&amp;CHAR(9)&amp;CHAR(9)&amp;CHAR(9)&amp;"&lt;name&gt;"&amp;BO44&amp;"&lt;/name&gt;"&amp;CHAR(13)&amp;CHAR(9)&amp;CHAR(9)&amp;CHAR(9)&amp;"&lt;text&gt;"&amp;BQ44&amp;"&lt;/text&gt;"&amp;IF(ISBLANK(BS44),"",CHAR(13)&amp;CHAR(9)&amp;CHAR(9)&amp;CHAR(9)&amp;"&lt;attack&gt;"&amp;BS44&amp;"|"&amp;BT44&amp;"|"&amp;BU44&amp;"&lt;/attack&gt;")&amp;CHAR(13)&amp;CHAR(9)&amp;CHAR(9)&amp;"&lt;/"&amp;BP44&amp;"&gt;")</f>
        <v/>
      </c>
      <c r="J44" s="3" t="str">
        <f>IF(ISBLANK(BV44),"",CHAR(13)&amp;CHAR(9)&amp;CHAR(9)&amp;"&lt;"&amp;BW44&amp;"&gt;"&amp;CHAR(13)&amp;CHAR(9)&amp;CHAR(9)&amp;CHAR(9)&amp;"&lt;name&gt;"&amp;BV44&amp;"&lt;/name&gt;"&amp;CHAR(13)&amp;CHAR(9)&amp;CHAR(9)&amp;CHAR(9)&amp;"&lt;text&gt;"&amp;BX44&amp;"&lt;/text&gt;"&amp;IF(ISBLANK(BZ44),"",CHAR(13)&amp;CHAR(9)&amp;CHAR(9)&amp;CHAR(9)&amp;"&lt;attack&gt;"&amp;BZ44&amp;"|"&amp;CA44&amp;"|"&amp;CB44&amp;"&lt;/attack&gt;")&amp;CHAR(13)&amp;CHAR(9)&amp;CHAR(9)&amp;"&lt;/"&amp;BW44&amp;"&gt;")</f>
        <v/>
      </c>
      <c r="K44" s="3" t="str">
        <f>IF(ISBLANK(CC44),"",CHAR(13)&amp;CHAR(9)&amp;CHAR(9)&amp;"&lt;"&amp;CD44&amp;"&gt;"&amp;CHAR(13)&amp;CHAR(9)&amp;CHAR(9)&amp;CHAR(9)&amp;"&lt;name&gt;"&amp;CC44&amp;"&lt;/name&gt;"&amp;CHAR(13)&amp;CHAR(9)&amp;CHAR(9)&amp;CHAR(9)&amp;"&lt;text&gt;"&amp;CE44&amp;"&lt;/text&gt;"&amp;IF(ISBLANK(CG44),"",CHAR(13)&amp;CHAR(9)&amp;CHAR(9)&amp;CHAR(9)&amp;"&lt;attack&gt;"&amp;CG44&amp;"|"&amp;CH44&amp;"|"&amp;CI44&amp;"&lt;/attack&gt;")&amp;CHAR(13)&amp;CHAR(9)&amp;CHAR(9)&amp;"&lt;/"&amp;CD44&amp;"&gt;")</f>
        <v/>
      </c>
      <c r="L44" s="1" t="s">
        <v>52</v>
      </c>
      <c r="M44" s="1" t="s">
        <v>275</v>
      </c>
      <c r="N44" s="1">
        <f>DruidAlignment</f>
        <v>0</v>
      </c>
      <c r="O44" s="2">
        <v>1</v>
      </c>
      <c r="P44" s="1" t="s">
        <v>2</v>
      </c>
      <c r="Q44" s="1">
        <v>12</v>
      </c>
      <c r="R44" s="1"/>
      <c r="S44" s="1">
        <v>45</v>
      </c>
      <c r="T44" s="1">
        <v>50</v>
      </c>
      <c r="Y44" s="1">
        <v>16</v>
      </c>
      <c r="Z44" s="1">
        <v>14</v>
      </c>
      <c r="AA44" s="1">
        <v>14</v>
      </c>
      <c r="AB44" s="10">
        <f>DruidInt</f>
        <v>0</v>
      </c>
      <c r="AC44" s="10">
        <f>DruidWis</f>
        <v>0</v>
      </c>
      <c r="AD44" s="10">
        <f>DruidCha</f>
        <v>0</v>
      </c>
      <c r="AE44" s="12"/>
      <c r="AF44" s="12">
        <v>3</v>
      </c>
      <c r="AG44" s="12"/>
      <c r="AH44" s="12" t="s">
        <v>173</v>
      </c>
      <c r="AI44" s="12" t="str">
        <f>IF(ISBLANK(DruidAcrobatics),"",", Acrobatics +"&amp;DruidAcrobatics)&amp;IF(ISBLANK(DruidAnimalHandling),"",", Animal Handling +"&amp;DruidAnimalHandling)&amp;IF(ISBLANK(DruidArcana),"",", Arcana +"&amp;DruidArcana)&amp;IF(DruidAthletics+AE44=0,"",", Athletics +"&amp;MAX(DruidAthletics,AE44))&amp;IF(ISBLANK(DruidDeception),"",",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+"&amp;DruidNature)&amp;IF(DruidPerception+AF44=0,"",", Perception +"&amp;MAX(DruidPerception,AF44))&amp;IF(ISBLANK(DruidPerformance),"",", Performance +"&amp;DruidPerformance)&amp;IF(ISBLANK(DruidPersuasion),"",", Persuasion +"&amp;DruidPersuasion)&amp;IF(ISBLANK(DruidReligion),"",", Religion +"&amp;DruidReligion)&amp;IF(ISBLANK(DruidSleightofHand),"",", Sleight of Hand +"&amp;DruidSleightofHand)&amp;IF(DruidStealth+AG44=0,"",", Stealth +"&amp;MAX(DruidStealth,AG44))&amp;IF(ISBLANK(DruidSurvival),"",", Survival +"&amp;DruidSurvival)</f>
        <v>, Perception +3</v>
      </c>
      <c r="AJ44" s="1" t="str">
        <f>RIGHT(AI44,LEN(AI44)-2)</f>
        <v>Perception +3</v>
      </c>
      <c r="AK4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4" s="1" t="s">
        <v>173</v>
      </c>
      <c r="AN44" s="3">
        <f>IF(DruidPerception+AF44=0,10+(ROUNDDOWN((AC44-10)/2,0)),10+MAX(DruidPerception,AF44))</f>
        <v>13</v>
      </c>
      <c r="AT44" s="3" t="s">
        <v>53</v>
      </c>
      <c r="AU44" s="3" t="s">
        <v>148</v>
      </c>
      <c r="AV44" s="3" t="s">
        <v>302</v>
      </c>
      <c r="AW44" s="3" t="s">
        <v>173</v>
      </c>
      <c r="AZ44" s="3"/>
      <c r="BA44" s="3" t="s">
        <v>161</v>
      </c>
      <c r="BB44" s="3" t="s">
        <v>150</v>
      </c>
      <c r="BC44" s="3" t="s">
        <v>454</v>
      </c>
      <c r="BD44" s="3" t="s">
        <v>173</v>
      </c>
      <c r="BE44" s="3" t="s">
        <v>161</v>
      </c>
      <c r="BF44" s="3">
        <v>5</v>
      </c>
      <c r="BG44" s="3" t="s">
        <v>171</v>
      </c>
      <c r="BK44" s="3" t="s">
        <v>173</v>
      </c>
      <c r="BN44" s="3"/>
      <c r="BR44" s="3" t="s">
        <v>173</v>
      </c>
      <c r="BY44" s="3" t="s">
        <v>173</v>
      </c>
      <c r="CJ44" s="6">
        <v>1</v>
      </c>
      <c r="CK44" s="6">
        <f>IF(CJ44&lt;0.26,2,IF(CJ44&lt;0.51,4,IF(CJ44&lt;1.1,8,99)))</f>
        <v>8</v>
      </c>
      <c r="CL44" s="3">
        <f>IF(M44="Elemental",10,IF(CJ44&lt;2,2,CJ44*3))</f>
        <v>2</v>
      </c>
      <c r="CM44" s="3">
        <f>IF(W44&gt;0,8,0)</f>
        <v>0</v>
      </c>
      <c r="CN44" s="3">
        <f>IF(X44&gt;0,4,0)</f>
        <v>0</v>
      </c>
    </row>
    <row r="45" spans="1:92">
      <c r="A45" s="3" t="str">
        <f>IF(DruidLevel&lt;B45,"",CHAR(9)&amp;"&lt;monster&gt;"&amp;CHAR(13)&amp;CHAR(9)&amp;CHAR(9)&amp;"&lt;name&gt;"&amp;L45&amp;" (Wild Shape)&lt;/name&gt;"&amp;CHAR(13)&amp;CHAR(9)&amp;CHAR(9)&amp;"&lt;size&gt;"&amp;LEFT(P45,1)&amp;"&lt;/size&gt;"&amp;CHAR(13)&amp;CHAR(9)&amp;CHAR(9)&amp;"&lt;type&gt;"&amp;M45&amp;"&lt;/type&gt;"&amp;CHAR(13)&amp;CHAR(9)&amp;CHAR(9)&amp;"&lt;alignment&gt;"&amp;N45&amp;"&lt;/alignment&gt;"&amp;CHAR(13)&amp;CHAR(9)&amp;CHAR(9)&amp;"&lt;ac&gt;"&amp;Q45&amp;IF(ISBLANK(R45),""," ("&amp;R45&amp;")")&amp;"&lt;/ac&gt;"&amp;CHAR(13)&amp;CHAR(9)&amp;CHAR(9)&amp;"&lt;hp&gt;"&amp;S45&amp;"&lt;/hp&gt;"&amp;CHAR(13)&amp;CHAR(9)&amp;CHAR(9)&amp;"&lt;speed&gt;"&amp;E45&amp;"&lt;/speed&gt;"&amp;CHAR(13)&amp;CHAR(9)&amp;CHAR(9)&amp;"&lt;str&gt;"&amp;Y45&amp;"&lt;/str&gt;&lt;dex&gt;"&amp;Z45&amp;"&lt;/dex&gt;&lt;con&gt;"&amp;AA45&amp;"&lt;/con&gt;&lt;int&gt;"&amp;AB45&amp;"&lt;/int&gt;&lt;wis&gt;"&amp;AC45&amp;"&lt;/wis&gt;&lt;cha&gt;"&amp;AD45&amp;"&lt;/cha&gt;"&amp;CHAR(13)&amp;CHAR(9)&amp;CHAR(9)&amp;"&lt;save&gt;"&amp;AK45&amp;"&lt;/save&gt;"&amp;CHAR(13)&amp;CHAR(9)&amp;CHAR(9)&amp;"&lt;skill&gt;"&amp;AJ45&amp;"&lt;/skill&gt;"&amp;CHAR(13)&amp;CHAR(9)&amp;CHAR(9)&amp;"&lt;vulnerable&gt;"&amp;AO45&amp;"&lt;/vulnerable&gt;"&amp;CHAR(13)&amp;CHAR(9)&amp;CHAR(9)&amp;"&lt;resist&gt;"&amp;AP45&amp;"&lt;/resist&gt;"&amp;CHAR(13)&amp;CHAR(9)&amp;CHAR(9)&amp;"&lt;immune&gt;"&amp;AQ45&amp;"&lt;/immune&gt;"&amp;CHAR(13)&amp;CHAR(9)&amp;CHAR(9)&amp;"&lt;conditionImmune&gt;"&amp;AR45&amp;"&lt;/conditionImmune&gt;"&amp;CHAR(13)&amp;CHAR(9)&amp;CHAR(9)&amp;"&lt;senses&gt;"&amp;AM45&amp;"&lt;/senses&gt;"&amp;CHAR(13)&amp;CHAR(9)&amp;CHAR(9)&amp;"&lt;passive&gt;"&amp;AN45&amp;"&lt;/passive&gt;"&amp;CHAR(13)&amp;CHAR(9)&amp;CHAR(9)&amp;"&lt;languages&gt;"&amp;AS45&amp;"&lt;/languages&gt;"&amp;CHAR(13)&amp;CHAR(9)&amp;CHAR(9)&amp;"&lt;cr&gt;"&amp;O45&amp;"&lt;/cr&gt;"&amp;F45&amp;G45&amp;H45&amp;I45&amp;J45&amp;K45&amp;IF(C45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5" s="3">
        <f>IF(COTM=TRUE,MAX(CL45,CM45,CN45),MAX(CK45,CM45,CN45))</f>
        <v>2</v>
      </c>
      <c r="C45" s="11" t="str">
        <f>IF(COTM=FALSE,"",IF(DruidLevel&gt;5,"Y",""))</f>
        <v/>
      </c>
      <c r="D45" s="3" t="s">
        <v>173</v>
      </c>
      <c r="E45" s="3" t="str">
        <f>T45&amp;" ft."&amp;IF(U45+V45+W45+X45=0,"",", ")&amp;IF(ISBLANK(U45),"","burrow "&amp;U45&amp;" ft."&amp;IF(V45+W45+X45=0,"",", "))&amp;IF(ISBLANK(V45),"","climb "&amp;V45&amp;" ft."&amp;IF(W45+X45=0,"",", "))&amp;IF(ISBLANK(W45),"","fly "&amp;W45&amp;" ft."&amp;IF(X45=0,"",", "))&amp;IF(ISBLANK(X45),"","swim "&amp;X45&amp;" ft.")</f>
        <v>30 ft., climb 30 ft.</v>
      </c>
      <c r="F45" s="3" t="str">
        <f>IF(ISBLANK(AT45),"",CHAR(13)&amp;CHAR(9)&amp;CHAR(9)&amp;"&lt;"&amp;AU45&amp;"&gt;"&amp;CHAR(13)&amp;CHAR(9)&amp;CHAR(9)&amp;CHAR(9)&amp;"&lt;name&gt;"&amp;AT45&amp;"&lt;/name&gt;"&amp;CHAR(13)&amp;CHAR(9)&amp;CHAR(9)&amp;CHAR(9)&amp;"&lt;text&gt;"&amp;AV45&amp;"&lt;/text&gt;"&amp;IF(ISBLANK(AX45),"",CHAR(13)&amp;CHAR(9)&amp;CHAR(9)&amp;CHAR(9)&amp;"&lt;attack&gt;"&amp;AX45&amp;"|"&amp;AY45&amp;"|"&amp;AZ45&amp;"&lt;/attack&gt;")&amp;CHAR(13)&amp;CHAR(9)&amp;CHAR(9)&amp;"&lt;/"&amp;AU45&amp;"&gt;")</f>
        <v>_x000D_		&lt;action&gt;_x000D_			&lt;name&gt;Bite&lt;/name&gt;_x000D_			&lt;text&gt;Melee Weapon Attack: +4 to hit, reach 5 ft., one target. Hit: 6 (1d8+2) piercing damage.&lt;/text&gt;_x000D_			&lt;attack&gt;Bite|4|1d8+2&lt;/attack&gt;_x000D_		&lt;/action&gt;</v>
      </c>
      <c r="G45" s="3" t="str">
        <f>IF(ISBLANK(BA45),"",CHAR(13)&amp;CHAR(9)&amp;CHAR(9)&amp;"&lt;"&amp;BB45&amp;"&gt;"&amp;CHAR(13)&amp;CHAR(9)&amp;CHAR(9)&amp;CHAR(9)&amp;"&lt;name&gt;"&amp;BA45&amp;"&lt;/name&gt;"&amp;CHAR(13)&amp;CHAR(9)&amp;CHAR(9)&amp;CHAR(9)&amp;"&lt;text&gt;"&amp;BC45&amp;"&lt;/text&gt;"&amp;IF(ISBLANK(BE45),"",CHAR(13)&amp;CHAR(9)&amp;CHAR(9)&amp;CHAR(9)&amp;"&lt;attack&gt;"&amp;BE45&amp;"|"&amp;BF45&amp;"|"&amp;BG45&amp;"&lt;/attack&gt;")&amp;CHAR(13)&amp;CHAR(9)&amp;CHAR(9)&amp;"&lt;/"&amp;BB45&amp;"&gt;")</f>
        <v/>
      </c>
      <c r="H45" s="3" t="str">
        <f>IF(ISBLANK(BH45),"",CHAR(13)&amp;CHAR(9)&amp;CHAR(9)&amp;"&lt;"&amp;BI45&amp;"&gt;"&amp;CHAR(13)&amp;CHAR(9)&amp;CHAR(9)&amp;CHAR(9)&amp;"&lt;name&gt;"&amp;BH45&amp;"&lt;/name&gt;"&amp;CHAR(13)&amp;CHAR(9)&amp;CHAR(9)&amp;CHAR(9)&amp;"&lt;text&gt;"&amp;BJ45&amp;"&lt;/text&gt;"&amp;IF(ISBLANK(BL45),"",CHAR(13)&amp;CHAR(9)&amp;CHAR(9)&amp;CHAR(9)&amp;"&lt;attack&gt;"&amp;BL45&amp;"|"&amp;BM45&amp;"|"&amp;BN45&amp;"&lt;/attack&gt;")&amp;CHAR(13)&amp;CHAR(9)&amp;CHAR(9)&amp;"&lt;/"&amp;BI45&amp;"&gt;")</f>
        <v/>
      </c>
      <c r="I45" s="3" t="str">
        <f>IF(ISBLANK(BO45),"",CHAR(13)&amp;CHAR(9)&amp;CHAR(9)&amp;"&lt;"&amp;BP45&amp;"&gt;"&amp;CHAR(13)&amp;CHAR(9)&amp;CHAR(9)&amp;CHAR(9)&amp;"&lt;name&gt;"&amp;BO45&amp;"&lt;/name&gt;"&amp;CHAR(13)&amp;CHAR(9)&amp;CHAR(9)&amp;CHAR(9)&amp;"&lt;text&gt;"&amp;BQ45&amp;"&lt;/text&gt;"&amp;IF(ISBLANK(BS45),"",CHAR(13)&amp;CHAR(9)&amp;CHAR(9)&amp;CHAR(9)&amp;"&lt;attack&gt;"&amp;BS45&amp;"|"&amp;BT45&amp;"|"&amp;BU45&amp;"&lt;/attack&gt;")&amp;CHAR(13)&amp;CHAR(9)&amp;CHAR(9)&amp;"&lt;/"&amp;BP45&amp;"&gt;")</f>
        <v/>
      </c>
      <c r="J45" s="3" t="str">
        <f>IF(ISBLANK(BV45),"",CHAR(13)&amp;CHAR(9)&amp;CHAR(9)&amp;"&lt;"&amp;BW45&amp;"&gt;"&amp;CHAR(13)&amp;CHAR(9)&amp;CHAR(9)&amp;CHAR(9)&amp;"&lt;name&gt;"&amp;BV45&amp;"&lt;/name&gt;"&amp;CHAR(13)&amp;CHAR(9)&amp;CHAR(9)&amp;CHAR(9)&amp;"&lt;text&gt;"&amp;BX45&amp;"&lt;/text&gt;"&amp;IF(ISBLANK(BZ45),"",CHAR(13)&amp;CHAR(9)&amp;CHAR(9)&amp;CHAR(9)&amp;"&lt;attack&gt;"&amp;BZ45&amp;"|"&amp;CA45&amp;"|"&amp;CB45&amp;"&lt;/attack&gt;")&amp;CHAR(13)&amp;CHAR(9)&amp;CHAR(9)&amp;"&lt;/"&amp;BW45&amp;"&gt;")</f>
        <v/>
      </c>
      <c r="K45" s="3" t="str">
        <f>IF(ISBLANK(CC45),"",CHAR(13)&amp;CHAR(9)&amp;CHAR(9)&amp;"&lt;"&amp;CD45&amp;"&gt;"&amp;CHAR(13)&amp;CHAR(9)&amp;CHAR(9)&amp;CHAR(9)&amp;"&lt;name&gt;"&amp;CC45&amp;"&lt;/name&gt;"&amp;CHAR(13)&amp;CHAR(9)&amp;CHAR(9)&amp;CHAR(9)&amp;"&lt;text&gt;"&amp;CE45&amp;"&lt;/text&gt;"&amp;IF(ISBLANK(CG45),"",CHAR(13)&amp;CHAR(9)&amp;CHAR(9)&amp;CHAR(9)&amp;"&lt;attack&gt;"&amp;CG45&amp;"|"&amp;CH45&amp;"|"&amp;CI45&amp;"&lt;/attack&gt;")&amp;CHAR(13)&amp;CHAR(9)&amp;CHAR(9)&amp;"&lt;/"&amp;CD45&amp;"&gt;")</f>
        <v/>
      </c>
      <c r="L45" s="1" t="s">
        <v>41</v>
      </c>
      <c r="M45" s="1" t="s">
        <v>275</v>
      </c>
      <c r="N45" s="1">
        <f>DruidAlignment</f>
        <v>0</v>
      </c>
      <c r="O45" s="2" t="s">
        <v>208</v>
      </c>
      <c r="P45" s="1" t="s">
        <v>2</v>
      </c>
      <c r="Q45" s="1">
        <v>12</v>
      </c>
      <c r="R45" s="1" t="s">
        <v>405</v>
      </c>
      <c r="S45" s="1">
        <v>19</v>
      </c>
      <c r="T45" s="1">
        <v>30</v>
      </c>
      <c r="V45" s="1">
        <v>30</v>
      </c>
      <c r="Y45" s="1">
        <v>15</v>
      </c>
      <c r="Z45" s="1">
        <v>12</v>
      </c>
      <c r="AA45" s="1">
        <v>13</v>
      </c>
      <c r="AB45" s="10">
        <f>DruidInt</f>
        <v>0</v>
      </c>
      <c r="AC45" s="10">
        <f>DruidWis</f>
        <v>0</v>
      </c>
      <c r="AD45" s="10">
        <f>DruidCha</f>
        <v>0</v>
      </c>
      <c r="AE45" s="12"/>
      <c r="AF45" s="12"/>
      <c r="AG45" s="12"/>
      <c r="AH45" s="12" t="s">
        <v>173</v>
      </c>
      <c r="AI45" s="12" t="str">
        <f>IF(ISBLANK(DruidAcrobatics),"",", Acrobatics +"&amp;DruidAcrobatics)&amp;IF(ISBLANK(DruidAnimalHandling),"",", Animal Handling +"&amp;DruidAnimalHandling)&amp;IF(ISBLANK(DruidArcana),"",", Arcana +"&amp;DruidArcana)&amp;IF(DruidAthletics+AE45=0,"",", Athletics +"&amp;MAX(DruidAthletics,AE45))&amp;IF(ISBLANK(DruidDeception),"",",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+"&amp;DruidNature)&amp;IF(DruidPerception+AF45=0,"",", Perception +"&amp;MAX(DruidPerception,AF45))&amp;IF(ISBLANK(DruidPerformance),"",", Performance +"&amp;DruidPerformance)&amp;IF(ISBLANK(DruidPersuasion),"",", Persuasion +"&amp;DruidPersuasion)&amp;IF(ISBLANK(DruidReligion),"",", Religion +"&amp;DruidReligion)&amp;IF(ISBLANK(DruidSleightofHand),"",", Sleight of Hand +"&amp;DruidSleightofHand)&amp;IF(DruidStealth+AG45=0,"",", Stealth +"&amp;MAX(DruidStealth,AG45))&amp;IF(ISBLANK(DruidSurvival),"",", Survival +"&amp;DruidSurvival)</f>
        <v/>
      </c>
      <c r="AJ45" s="1" t="e">
        <f>RIGHT(AI45,LEN(AI45)-2)</f>
        <v>#VALUE!</v>
      </c>
      <c r="AK4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5" s="1" t="s">
        <v>173</v>
      </c>
      <c r="AM45" s="1" t="s">
        <v>178</v>
      </c>
      <c r="AN45" s="3">
        <f>IF(DruidPerception+AF45=0,10+(ROUNDDOWN((AC45-10)/2,0)),10+MAX(DruidPerception,AF45))</f>
        <v>5</v>
      </c>
      <c r="AO45" s="1"/>
      <c r="AP45" s="1"/>
      <c r="AQ45" s="1"/>
      <c r="AR45" s="1"/>
      <c r="AS45" s="1"/>
      <c r="AT45" s="3" t="s">
        <v>161</v>
      </c>
      <c r="AU45" s="3" t="s">
        <v>150</v>
      </c>
      <c r="AV45" s="3" t="s">
        <v>455</v>
      </c>
      <c r="AW45" s="3" t="s">
        <v>173</v>
      </c>
      <c r="AX45" s="3" t="s">
        <v>161</v>
      </c>
      <c r="AY45" s="3">
        <v>4</v>
      </c>
      <c r="AZ45" s="3" t="s">
        <v>175</v>
      </c>
      <c r="BD45" s="3" t="s">
        <v>173</v>
      </c>
      <c r="BG45" s="3"/>
      <c r="BK45" s="3" t="s">
        <v>173</v>
      </c>
      <c r="BN45" s="3"/>
      <c r="BR45" s="3" t="s">
        <v>173</v>
      </c>
      <c r="BY45" s="3" t="s">
        <v>173</v>
      </c>
      <c r="CJ45" s="6">
        <v>0.25</v>
      </c>
      <c r="CK45" s="6">
        <f>IF(CJ45&lt;0.26,2,IF(CJ45&lt;0.51,4,IF(CJ45&lt;1.1,8,99)))</f>
        <v>2</v>
      </c>
      <c r="CL45" s="3">
        <f>IF(M45="Elemental",10,IF(CJ45&lt;2,2,CJ45*3))</f>
        <v>2</v>
      </c>
      <c r="CM45" s="3">
        <f>IF(W45&gt;0,8,0)</f>
        <v>0</v>
      </c>
      <c r="CN45" s="3">
        <f>IF(X45&gt;0,4,0)</f>
        <v>0</v>
      </c>
    </row>
    <row r="46" spans="1:92">
      <c r="A46" s="3" t="str">
        <f>IF(DruidLevel&lt;B46,"",CHAR(9)&amp;"&lt;monster&gt;"&amp;CHAR(13)&amp;CHAR(9)&amp;CHAR(9)&amp;"&lt;name&gt;"&amp;L46&amp;" (Wild Shape)&lt;/name&gt;"&amp;CHAR(13)&amp;CHAR(9)&amp;CHAR(9)&amp;"&lt;size&gt;"&amp;LEFT(P46,1)&amp;"&lt;/size&gt;"&amp;CHAR(13)&amp;CHAR(9)&amp;CHAR(9)&amp;"&lt;type&gt;"&amp;M46&amp;"&lt;/type&gt;"&amp;CHAR(13)&amp;CHAR(9)&amp;CHAR(9)&amp;"&lt;alignment&gt;"&amp;N46&amp;"&lt;/alignment&gt;"&amp;CHAR(13)&amp;CHAR(9)&amp;CHAR(9)&amp;"&lt;ac&gt;"&amp;Q46&amp;IF(ISBLANK(R46),""," ("&amp;R46&amp;")")&amp;"&lt;/ac&gt;"&amp;CHAR(13)&amp;CHAR(9)&amp;CHAR(9)&amp;"&lt;hp&gt;"&amp;S46&amp;"&lt;/hp&gt;"&amp;CHAR(13)&amp;CHAR(9)&amp;CHAR(9)&amp;"&lt;speed&gt;"&amp;E46&amp;"&lt;/speed&gt;"&amp;CHAR(13)&amp;CHAR(9)&amp;CHAR(9)&amp;"&lt;str&gt;"&amp;Y46&amp;"&lt;/str&gt;&lt;dex&gt;"&amp;Z46&amp;"&lt;/dex&gt;&lt;con&gt;"&amp;AA46&amp;"&lt;/con&gt;&lt;int&gt;"&amp;AB46&amp;"&lt;/int&gt;&lt;wis&gt;"&amp;AC46&amp;"&lt;/wis&gt;&lt;cha&gt;"&amp;AD46&amp;"&lt;/cha&gt;"&amp;CHAR(13)&amp;CHAR(9)&amp;CHAR(9)&amp;"&lt;save&gt;"&amp;AK46&amp;"&lt;/save&gt;"&amp;CHAR(13)&amp;CHAR(9)&amp;CHAR(9)&amp;"&lt;skill&gt;"&amp;AJ46&amp;"&lt;/skill&gt;"&amp;CHAR(13)&amp;CHAR(9)&amp;CHAR(9)&amp;"&lt;vulnerable&gt;"&amp;AO46&amp;"&lt;/vulnerable&gt;"&amp;CHAR(13)&amp;CHAR(9)&amp;CHAR(9)&amp;"&lt;resist&gt;"&amp;AP46&amp;"&lt;/resist&gt;"&amp;CHAR(13)&amp;CHAR(9)&amp;CHAR(9)&amp;"&lt;immune&gt;"&amp;AQ46&amp;"&lt;/immune&gt;"&amp;CHAR(13)&amp;CHAR(9)&amp;CHAR(9)&amp;"&lt;conditionImmune&gt;"&amp;AR46&amp;"&lt;/conditionImmune&gt;"&amp;CHAR(13)&amp;CHAR(9)&amp;CHAR(9)&amp;"&lt;senses&gt;"&amp;AM46&amp;"&lt;/senses&gt;"&amp;CHAR(13)&amp;CHAR(9)&amp;CHAR(9)&amp;"&lt;passive&gt;"&amp;AN46&amp;"&lt;/passive&gt;"&amp;CHAR(13)&amp;CHAR(9)&amp;CHAR(9)&amp;"&lt;languages&gt;"&amp;AS46&amp;"&lt;/languages&gt;"&amp;CHAR(13)&amp;CHAR(9)&amp;CHAR(9)&amp;"&lt;cr&gt;"&amp;O46&amp;"&lt;/cr&gt;"&amp;F46&amp;G46&amp;H46&amp;I46&amp;J46&amp;K46&amp;IF(C46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6" s="3">
        <f>IF(COTM=TRUE,MAX(CL46,CM46,CN46),MAX(CK46,CM46,CN46))</f>
        <v>8</v>
      </c>
      <c r="C46" s="11" t="str">
        <f>IF(COTM=FALSE,"",IF(DruidLevel&gt;5,"Y",""))</f>
        <v/>
      </c>
      <c r="D46" s="3" t="s">
        <v>173</v>
      </c>
      <c r="E46" s="3" t="str">
        <f>T46&amp;" ft."&amp;IF(U46+V46+W46+X46=0,"",", ")&amp;IF(ISBLANK(U46),"","burrow "&amp;U46&amp;" ft."&amp;IF(V46+W46+X46=0,"",", "))&amp;IF(ISBLANK(V46),"","climb "&amp;V46&amp;" ft."&amp;IF(W46+X46=0,"",", "))&amp;IF(ISBLANK(W46),"","fly "&amp;W46&amp;" ft."&amp;IF(X46=0,"",", "))&amp;IF(ISBLANK(X46),"","swim "&amp;X46&amp;" ft.")</f>
        <v>10 ft., swim 60 ft.</v>
      </c>
      <c r="F46" s="3" t="str">
        <f>IF(ISBLANK(AT46),"",CHAR(13)&amp;CHAR(9)&amp;CHAR(9)&amp;"&lt;"&amp;AU46&amp;"&gt;"&amp;CHAR(13)&amp;CHAR(9)&amp;CHAR(9)&amp;CHAR(9)&amp;"&lt;name&gt;"&amp;AT46&amp;"&lt;/name&gt;"&amp;CHAR(13)&amp;CHAR(9)&amp;CHAR(9)&amp;CHAR(9)&amp;"&lt;text&gt;"&amp;AV46&amp;"&lt;/text&gt;"&amp;IF(ISBLANK(AX46),"",CHAR(13)&amp;CHAR(9)&amp;CHAR(9)&amp;CHAR(9)&amp;"&lt;attack&gt;"&amp;AX46&amp;"|"&amp;AY46&amp;"|"&amp;AZ46&amp;"&lt;/attack&gt;")&amp;CHAR(13)&amp;CHAR(9)&amp;CHAR(9)&amp;"&lt;/"&amp;AU46&amp;"&gt;")</f>
        <v>_x000D_		&lt;trait&gt;_x000D_			&lt;name&gt;Hold Breath&lt;/name&gt;_x000D_			&lt;text&gt;While out of water, the octopus can hold its breath for 1 hour.&lt;/text&gt;_x000D_		&lt;/trait&gt;</v>
      </c>
      <c r="G46" s="3" t="str">
        <f>IF(ISBLANK(BA46),"",CHAR(13)&amp;CHAR(9)&amp;CHAR(9)&amp;"&lt;"&amp;BB46&amp;"&gt;"&amp;CHAR(13)&amp;CHAR(9)&amp;CHAR(9)&amp;CHAR(9)&amp;"&lt;name&gt;"&amp;BA46&amp;"&lt;/name&gt;"&amp;CHAR(13)&amp;CHAR(9)&amp;CHAR(9)&amp;CHAR(9)&amp;"&lt;text&gt;"&amp;BC46&amp;"&lt;/text&gt;"&amp;IF(ISBLANK(BE46),"",CHAR(13)&amp;CHAR(9)&amp;CHAR(9)&amp;CHAR(9)&amp;"&lt;attack&gt;"&amp;BE46&amp;"|"&amp;BF46&amp;"|"&amp;BG46&amp;"&lt;/attack&gt;")&amp;CHAR(13)&amp;CHAR(9)&amp;CHAR(9)&amp;"&lt;/"&amp;BB46&amp;"&gt;")</f>
        <v>_x000D_		&lt;trait&gt;_x000D_			&lt;name&gt;Underwater Camouflage&lt;/name&gt;_x000D_			&lt;text&gt;The octopus has advantage on Dexterity (Stealth) checks made while underwater.&lt;/text&gt;_x000D_		&lt;/trait&gt;</v>
      </c>
      <c r="H46" s="3" t="str">
        <f>IF(ISBLANK(BH46),"",CHAR(13)&amp;CHAR(9)&amp;CHAR(9)&amp;"&lt;"&amp;BI46&amp;"&gt;"&amp;CHAR(13)&amp;CHAR(9)&amp;CHAR(9)&amp;CHAR(9)&amp;"&lt;name&gt;"&amp;BH46&amp;"&lt;/name&gt;"&amp;CHAR(13)&amp;CHAR(9)&amp;CHAR(9)&amp;CHAR(9)&amp;"&lt;text&gt;"&amp;BJ46&amp;"&lt;/text&gt;"&amp;IF(ISBLANK(BL46),"",CHAR(13)&amp;CHAR(9)&amp;CHAR(9)&amp;CHAR(9)&amp;"&lt;attack&gt;"&amp;BL46&amp;"|"&amp;BM46&amp;"|"&amp;BN46&amp;"&lt;/attack&gt;")&amp;CHAR(13)&amp;CHAR(9)&amp;CHAR(9)&amp;"&lt;/"&amp;BI46&amp;"&gt;")</f>
        <v>_x000D_		&lt;trait&gt;_x000D_			&lt;name&gt;Water Breathing&lt;/name&gt;_x000D_			&lt;text&gt;The octopus can breathe only underwater.&lt;/text&gt;_x000D_		&lt;/trait&gt;</v>
      </c>
      <c r="I46" s="3" t="str">
        <f>IF(ISBLANK(BO46),"",CHAR(13)&amp;CHAR(9)&amp;CHAR(9)&amp;"&lt;"&amp;BP46&amp;"&gt;"&amp;CHAR(13)&amp;CHAR(9)&amp;CHAR(9)&amp;CHAR(9)&amp;"&lt;name&gt;"&amp;BO46&amp;"&lt;/name&gt;"&amp;CHAR(13)&amp;CHAR(9)&amp;CHAR(9)&amp;CHAR(9)&amp;"&lt;text&gt;"&amp;BQ46&amp;"&lt;/text&gt;"&amp;IF(ISBLANK(BS46),"",CHAR(13)&amp;CHAR(9)&amp;CHAR(9)&amp;CHAR(9)&amp;"&lt;attack&gt;"&amp;BS46&amp;"|"&amp;BT46&amp;"|"&amp;BU46&amp;"&lt;/attack&gt;")&amp;CHAR(13)&amp;CHAR(9)&amp;CHAR(9)&amp;"&lt;/"&amp;BP46&amp;"&gt;")</f>
        <v>_x000D_		&lt;action&gt;_x000D_			&lt;name&gt;Tentacles&lt;/name&gt;_x000D_			&lt;text&gt;Melee Weapon Attack: +5 to hit, reach 15 ft., one target. Hit: 10 (2d6+3) bludgeoning damage. If the target is a creature, it is grappled (escape DC 16). Until this grapple ends, the target is restrained, and the octopus can't use its tentacles on another target.&lt;/text&gt;_x000D_			&lt;attack&gt;Tentacles|5|2d6+3&lt;/attack&gt;_x000D_		&lt;/action&gt;</v>
      </c>
      <c r="J46" s="3" t="str">
        <f>IF(ISBLANK(BV46),"",CHAR(13)&amp;CHAR(9)&amp;CHAR(9)&amp;"&lt;"&amp;BW46&amp;"&gt;"&amp;CHAR(13)&amp;CHAR(9)&amp;CHAR(9)&amp;CHAR(9)&amp;"&lt;name&gt;"&amp;BV46&amp;"&lt;/name&gt;"&amp;CHAR(13)&amp;CHAR(9)&amp;CHAR(9)&amp;CHAR(9)&amp;"&lt;text&gt;"&amp;BX46&amp;"&lt;/text&gt;"&amp;IF(ISBLANK(BZ46),"",CHAR(13)&amp;CHAR(9)&amp;CHAR(9)&amp;CHAR(9)&amp;"&lt;attack&gt;"&amp;BZ46&amp;"|"&amp;CA46&amp;"|"&amp;CB46&amp;"&lt;/attack&gt;")&amp;CHAR(13)&amp;CHAR(9)&amp;CHAR(9)&amp;"&lt;/"&amp;BW46&amp;"&gt;")</f>
        <v>_x000D_		&lt;action&gt;_x000D_			&lt;name&gt;Ink Cloud (Recharges after a Short or Long Rest)&lt;/name&gt;_x000D_			&lt;text&gt;A 20-foot-radius cloud of ink extends all around the octopus if it is underwater. The area is heavily obscured for 1 minute, although a significant current can disperse the ink. After releasing the ink, the octopus can use the Dash action as a bonus action.&lt;/text&gt;_x000D_		&lt;/action&gt;</v>
      </c>
      <c r="K46" s="3" t="str">
        <f>IF(ISBLANK(CC46),"",CHAR(13)&amp;CHAR(9)&amp;CHAR(9)&amp;"&lt;"&amp;CD46&amp;"&gt;"&amp;CHAR(13)&amp;CHAR(9)&amp;CHAR(9)&amp;CHAR(9)&amp;"&lt;name&gt;"&amp;CC46&amp;"&lt;/name&gt;"&amp;CHAR(13)&amp;CHAR(9)&amp;CHAR(9)&amp;CHAR(9)&amp;"&lt;text&gt;"&amp;CE46&amp;"&lt;/text&gt;"&amp;IF(ISBLANK(CG46),"",CHAR(13)&amp;CHAR(9)&amp;CHAR(9)&amp;CHAR(9)&amp;"&lt;attack&gt;"&amp;CG46&amp;"|"&amp;CH46&amp;"|"&amp;CI46&amp;"&lt;/attack&gt;")&amp;CHAR(13)&amp;CHAR(9)&amp;CHAR(9)&amp;"&lt;/"&amp;CD46&amp;"&gt;")</f>
        <v/>
      </c>
      <c r="L46" s="1" t="s">
        <v>74</v>
      </c>
      <c r="M46" s="1" t="s">
        <v>275</v>
      </c>
      <c r="N46" s="1">
        <f>DruidAlignment</f>
        <v>0</v>
      </c>
      <c r="O46" s="2">
        <v>1</v>
      </c>
      <c r="P46" s="1" t="s">
        <v>2</v>
      </c>
      <c r="Q46" s="1">
        <v>11</v>
      </c>
      <c r="R46" s="1"/>
      <c r="S46" s="1">
        <v>52</v>
      </c>
      <c r="T46" s="1">
        <v>10</v>
      </c>
      <c r="X46" s="1">
        <v>60</v>
      </c>
      <c r="Y46" s="1">
        <v>17</v>
      </c>
      <c r="Z46" s="1">
        <v>13</v>
      </c>
      <c r="AA46" s="1">
        <v>13</v>
      </c>
      <c r="AB46" s="10">
        <f>DruidInt</f>
        <v>0</v>
      </c>
      <c r="AC46" s="10">
        <f>DruidWis</f>
        <v>0</v>
      </c>
      <c r="AD46" s="10">
        <f>DruidCha</f>
        <v>0</v>
      </c>
      <c r="AE46" s="12"/>
      <c r="AF46" s="12"/>
      <c r="AG46" s="12">
        <v>5</v>
      </c>
      <c r="AH46" s="12" t="s">
        <v>173</v>
      </c>
      <c r="AI46" s="12" t="str">
        <f>IF(ISBLANK(DruidAcrobatics),"",", Acrobatics +"&amp;DruidAcrobatics)&amp;IF(ISBLANK(DruidAnimalHandling),"",", Animal Handling +"&amp;DruidAnimalHandling)&amp;IF(ISBLANK(DruidArcana),"",", Arcana +"&amp;DruidArcana)&amp;IF(DruidAthletics+AE46=0,"",", Athletics +"&amp;MAX(DruidAthletics,AE46))&amp;IF(ISBLANK(DruidDeception),"",",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+"&amp;DruidNature)&amp;IF(DruidPerception+AF46=0,"",", Perception +"&amp;MAX(DruidPerception,AF46))&amp;IF(ISBLANK(DruidPerformance),"",", Performance +"&amp;DruidPerformance)&amp;IF(ISBLANK(DruidPersuasion),"",", Persuasion +"&amp;DruidPersuasion)&amp;IF(ISBLANK(DruidReligion),"",", Religion +"&amp;DruidReligion)&amp;IF(ISBLANK(DruidSleightofHand),"",", Sleight of Hand +"&amp;DruidSleightofHand)&amp;IF(DruidStealth+AG46=0,"",", Stealth +"&amp;MAX(DruidStealth,AG46))&amp;IF(ISBLANK(DruidSurvival),"",", Survival +"&amp;DruidSurvival)</f>
        <v>, Stealth +5</v>
      </c>
      <c r="AJ46" s="1" t="str">
        <f>RIGHT(AI46,LEN(AI46)-2)</f>
        <v>Stealth +5</v>
      </c>
      <c r="AK4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6" s="1" t="s">
        <v>173</v>
      </c>
      <c r="AM46" s="3" t="s">
        <v>176</v>
      </c>
      <c r="AN46" s="3">
        <f>IF(DruidPerception+AF46=0,10+(ROUNDDOWN((AC46-10)/2,0)),10+MAX(DruidPerception,AF46))</f>
        <v>5</v>
      </c>
      <c r="AO46" s="1"/>
      <c r="AP46" s="1"/>
      <c r="AQ46" s="1"/>
      <c r="AR46" s="1"/>
      <c r="AS46" s="1"/>
      <c r="AT46" s="3" t="s">
        <v>71</v>
      </c>
      <c r="AU46" s="3" t="s">
        <v>148</v>
      </c>
      <c r="AV46" s="3" t="s">
        <v>303</v>
      </c>
      <c r="AW46" s="3" t="s">
        <v>173</v>
      </c>
      <c r="AZ46" s="3"/>
      <c r="BA46" s="3" t="s">
        <v>304</v>
      </c>
      <c r="BB46" s="3" t="s">
        <v>148</v>
      </c>
      <c r="BC46" s="3" t="s">
        <v>305</v>
      </c>
      <c r="BD46" s="3" t="s">
        <v>173</v>
      </c>
      <c r="BG46" s="3"/>
      <c r="BH46" s="3" t="s">
        <v>64</v>
      </c>
      <c r="BI46" s="3" t="s">
        <v>148</v>
      </c>
      <c r="BJ46" s="3" t="s">
        <v>306</v>
      </c>
      <c r="BK46" s="3" t="s">
        <v>173</v>
      </c>
      <c r="BN46" s="3"/>
      <c r="BO46" s="3" t="s">
        <v>307</v>
      </c>
      <c r="BP46" s="3" t="s">
        <v>150</v>
      </c>
      <c r="BQ46" s="3" t="s">
        <v>490</v>
      </c>
      <c r="BR46" s="3" t="s">
        <v>173</v>
      </c>
      <c r="BS46" s="3" t="s">
        <v>307</v>
      </c>
      <c r="BT46" s="3">
        <v>5</v>
      </c>
      <c r="BU46" s="3" t="s">
        <v>192</v>
      </c>
      <c r="BV46" s="3" t="s">
        <v>308</v>
      </c>
      <c r="BW46" s="3" t="s">
        <v>150</v>
      </c>
      <c r="BX46" s="3" t="s">
        <v>403</v>
      </c>
      <c r="BY46" s="3" t="s">
        <v>173</v>
      </c>
      <c r="CJ46" s="6">
        <v>1</v>
      </c>
      <c r="CK46" s="6">
        <f>IF(CJ46&lt;0.26,2,IF(CJ46&lt;0.51,4,IF(CJ46&lt;1.1,8,99)))</f>
        <v>8</v>
      </c>
      <c r="CL46" s="3">
        <f>IF(M46="Elemental",10,IF(CJ46&lt;2,2,CJ46*3))</f>
        <v>2</v>
      </c>
      <c r="CM46" s="3">
        <f>IF(W46&gt;0,8,0)</f>
        <v>0</v>
      </c>
      <c r="CN46" s="3">
        <f>IF(X46&gt;0,4,0)</f>
        <v>4</v>
      </c>
    </row>
    <row r="47" spans="1:92">
      <c r="A47" s="3" t="str">
        <f>IF(DruidLevel&lt;B47,"",CHAR(9)&amp;"&lt;monster&gt;"&amp;CHAR(13)&amp;CHAR(9)&amp;CHAR(9)&amp;"&lt;name&gt;"&amp;L47&amp;" (Wild Shape)&lt;/name&gt;"&amp;CHAR(13)&amp;CHAR(9)&amp;CHAR(9)&amp;"&lt;size&gt;"&amp;LEFT(P47,1)&amp;"&lt;/size&gt;"&amp;CHAR(13)&amp;CHAR(9)&amp;CHAR(9)&amp;"&lt;type&gt;"&amp;M47&amp;"&lt;/type&gt;"&amp;CHAR(13)&amp;CHAR(9)&amp;CHAR(9)&amp;"&lt;alignment&gt;"&amp;N47&amp;"&lt;/alignment&gt;"&amp;CHAR(13)&amp;CHAR(9)&amp;CHAR(9)&amp;"&lt;ac&gt;"&amp;Q47&amp;IF(ISBLANK(R47),""," ("&amp;R47&amp;")")&amp;"&lt;/ac&gt;"&amp;CHAR(13)&amp;CHAR(9)&amp;CHAR(9)&amp;"&lt;hp&gt;"&amp;S47&amp;"&lt;/hp&gt;"&amp;CHAR(13)&amp;CHAR(9)&amp;CHAR(9)&amp;"&lt;speed&gt;"&amp;E47&amp;"&lt;/speed&gt;"&amp;CHAR(13)&amp;CHAR(9)&amp;CHAR(9)&amp;"&lt;str&gt;"&amp;Y47&amp;"&lt;/str&gt;&lt;dex&gt;"&amp;Z47&amp;"&lt;/dex&gt;&lt;con&gt;"&amp;AA47&amp;"&lt;/con&gt;&lt;int&gt;"&amp;AB47&amp;"&lt;/int&gt;&lt;wis&gt;"&amp;AC47&amp;"&lt;/wis&gt;&lt;cha&gt;"&amp;AD47&amp;"&lt;/cha&gt;"&amp;CHAR(13)&amp;CHAR(9)&amp;CHAR(9)&amp;"&lt;save&gt;"&amp;AK47&amp;"&lt;/save&gt;"&amp;CHAR(13)&amp;CHAR(9)&amp;CHAR(9)&amp;"&lt;skill&gt;"&amp;AJ47&amp;"&lt;/skill&gt;"&amp;CHAR(13)&amp;CHAR(9)&amp;CHAR(9)&amp;"&lt;vulnerable&gt;"&amp;AO47&amp;"&lt;/vulnerable&gt;"&amp;CHAR(13)&amp;CHAR(9)&amp;CHAR(9)&amp;"&lt;resist&gt;"&amp;AP47&amp;"&lt;/resist&gt;"&amp;CHAR(13)&amp;CHAR(9)&amp;CHAR(9)&amp;"&lt;immune&gt;"&amp;AQ47&amp;"&lt;/immune&gt;"&amp;CHAR(13)&amp;CHAR(9)&amp;CHAR(9)&amp;"&lt;conditionImmune&gt;"&amp;AR47&amp;"&lt;/conditionImmune&gt;"&amp;CHAR(13)&amp;CHAR(9)&amp;CHAR(9)&amp;"&lt;senses&gt;"&amp;AM47&amp;"&lt;/senses&gt;"&amp;CHAR(13)&amp;CHAR(9)&amp;CHAR(9)&amp;"&lt;passive&gt;"&amp;AN47&amp;"&lt;/passive&gt;"&amp;CHAR(13)&amp;CHAR(9)&amp;CHAR(9)&amp;"&lt;languages&gt;"&amp;AS47&amp;"&lt;/languages&gt;"&amp;CHAR(13)&amp;CHAR(9)&amp;CHAR(9)&amp;"&lt;cr&gt;"&amp;O47&amp;"&lt;/cr&gt;"&amp;F47&amp;G47&amp;H47&amp;I47&amp;J47&amp;K47&amp;IF(C47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7" s="3">
        <f>IF(COTM=TRUE,MAX(CL47,CM47,CN47),MAX(CK47,CM47,CN47))</f>
        <v>8</v>
      </c>
      <c r="C47" s="11" t="str">
        <f>IF(COTM=FALSE,"",IF(DruidLevel&gt;5,"Y",""))</f>
        <v/>
      </c>
      <c r="D47" s="3" t="s">
        <v>173</v>
      </c>
      <c r="E47" s="3" t="str">
        <f>T47&amp;" ft."&amp;IF(U47+V47+W47+X47=0,"",", ")&amp;IF(ISBLANK(U47),"","burrow "&amp;U47&amp;" ft."&amp;IF(V47+W47+X47=0,"",", "))&amp;IF(ISBLANK(V47),"","climb "&amp;V47&amp;" ft."&amp;IF(W47+X47=0,"",", "))&amp;IF(ISBLANK(W47),"","fly "&amp;W47&amp;" ft."&amp;IF(X47=0,"",", "))&amp;IF(ISBLANK(X47),"","swim "&amp;X47&amp;" ft.")</f>
        <v>5 ft., fly 60 ft.</v>
      </c>
      <c r="F47" s="3" t="str">
        <f>IF(ISBLANK(AT47),"",CHAR(13)&amp;CHAR(9)&amp;CHAR(9)&amp;"&lt;"&amp;AU47&amp;"&gt;"&amp;CHAR(13)&amp;CHAR(9)&amp;CHAR(9)&amp;CHAR(9)&amp;"&lt;name&gt;"&amp;AT47&amp;"&lt;/name&gt;"&amp;CHAR(13)&amp;CHAR(9)&amp;CHAR(9)&amp;CHAR(9)&amp;"&lt;text&gt;"&amp;AV47&amp;"&lt;/text&gt;"&amp;IF(ISBLANK(AX47),"",CHAR(13)&amp;CHAR(9)&amp;CHAR(9)&amp;CHAR(9)&amp;"&lt;attack&gt;"&amp;AX47&amp;"|"&amp;AY47&amp;"|"&amp;AZ47&amp;"&lt;/attack&gt;")&amp;CHAR(13)&amp;CHAR(9)&amp;CHAR(9)&amp;"&lt;/"&amp;AU47&amp;"&gt;")</f>
        <v>_x000D_		&lt;trait&gt;_x000D_			&lt;name&gt;Flyby&lt;/name&gt;_x000D_			&lt;text&gt;The owl doesn't provoke opportunity attacks when it flies out of an enemy's reach.&lt;/text&gt;_x000D_		&lt;/trait&gt;</v>
      </c>
      <c r="G47" s="3" t="str">
        <f>IF(ISBLANK(BA47),"",CHAR(13)&amp;CHAR(9)&amp;CHAR(9)&amp;"&lt;"&amp;BB47&amp;"&gt;"&amp;CHAR(13)&amp;CHAR(9)&amp;CHAR(9)&amp;CHAR(9)&amp;"&lt;name&gt;"&amp;BA47&amp;"&lt;/name&gt;"&amp;CHAR(13)&amp;CHAR(9)&amp;CHAR(9)&amp;CHAR(9)&amp;"&lt;text&gt;"&amp;BC47&amp;"&lt;/text&gt;"&amp;IF(ISBLANK(BE47),"",CHAR(13)&amp;CHAR(9)&amp;CHAR(9)&amp;CHAR(9)&amp;"&lt;attack&gt;"&amp;BE47&amp;"|"&amp;BF47&amp;"|"&amp;BG47&amp;"&lt;/attack&gt;")&amp;CHAR(13)&amp;CHAR(9)&amp;CHAR(9)&amp;"&lt;/"&amp;BB47&amp;"&gt;")</f>
        <v>_x000D_		&lt;trait&gt;_x000D_			&lt;name&gt;Keen Hearing and Sight&lt;/name&gt;_x000D_			&lt;text&gt;The owl has advantage on Wisdom (Perception) checks that rely on hearing or sight.&lt;/text&gt;_x000D_		&lt;/trait&gt;</v>
      </c>
      <c r="H47" s="3" t="str">
        <f>IF(ISBLANK(BH47),"",CHAR(13)&amp;CHAR(9)&amp;CHAR(9)&amp;"&lt;"&amp;BI47&amp;"&gt;"&amp;CHAR(13)&amp;CHAR(9)&amp;CHAR(9)&amp;CHAR(9)&amp;"&lt;name&gt;"&amp;BH47&amp;"&lt;/name&gt;"&amp;CHAR(13)&amp;CHAR(9)&amp;CHAR(9)&amp;CHAR(9)&amp;"&lt;text&gt;"&amp;BJ47&amp;"&lt;/text&gt;"&amp;IF(ISBLANK(BL47),"",CHAR(13)&amp;CHAR(9)&amp;CHAR(9)&amp;CHAR(9)&amp;"&lt;attack&gt;"&amp;BL47&amp;"|"&amp;BM47&amp;"|"&amp;BN47&amp;"&lt;/attack&gt;")&amp;CHAR(13)&amp;CHAR(9)&amp;CHAR(9)&amp;"&lt;/"&amp;BI47&amp;"&gt;")</f>
        <v>_x000D_		&lt;action&gt;_x000D_			&lt;name&gt;Talons&lt;/name&gt;_x000D_			&lt;text&gt;Melee Weapon Attack: +3 to hit, reach 5 ft., one target. Hit: 8 (2d6+1) slashing damage.&lt;/text&gt;_x000D_			&lt;attack&gt;Talons|3|2d6+1&lt;/attack&gt;_x000D_		&lt;/action&gt;</v>
      </c>
      <c r="I47" s="3" t="str">
        <f>IF(ISBLANK(BO47),"",CHAR(13)&amp;CHAR(9)&amp;CHAR(9)&amp;"&lt;"&amp;BP47&amp;"&gt;"&amp;CHAR(13)&amp;CHAR(9)&amp;CHAR(9)&amp;CHAR(9)&amp;"&lt;name&gt;"&amp;BO47&amp;"&lt;/name&gt;"&amp;CHAR(13)&amp;CHAR(9)&amp;CHAR(9)&amp;CHAR(9)&amp;"&lt;text&gt;"&amp;BQ47&amp;"&lt;/text&gt;"&amp;IF(ISBLANK(BS47),"",CHAR(13)&amp;CHAR(9)&amp;CHAR(9)&amp;CHAR(9)&amp;"&lt;attack&gt;"&amp;BS47&amp;"|"&amp;BT47&amp;"|"&amp;BU47&amp;"&lt;/attack&gt;")&amp;CHAR(13)&amp;CHAR(9)&amp;CHAR(9)&amp;"&lt;/"&amp;BP47&amp;"&gt;")</f>
        <v/>
      </c>
      <c r="J47" s="3" t="str">
        <f>IF(ISBLANK(BV47),"",CHAR(13)&amp;CHAR(9)&amp;CHAR(9)&amp;"&lt;"&amp;BW47&amp;"&gt;"&amp;CHAR(13)&amp;CHAR(9)&amp;CHAR(9)&amp;CHAR(9)&amp;"&lt;name&gt;"&amp;BV47&amp;"&lt;/name&gt;"&amp;CHAR(13)&amp;CHAR(9)&amp;CHAR(9)&amp;CHAR(9)&amp;"&lt;text&gt;"&amp;BX47&amp;"&lt;/text&gt;"&amp;IF(ISBLANK(BZ47),"",CHAR(13)&amp;CHAR(9)&amp;CHAR(9)&amp;CHAR(9)&amp;"&lt;attack&gt;"&amp;BZ47&amp;"|"&amp;CA47&amp;"|"&amp;CB47&amp;"&lt;/attack&gt;")&amp;CHAR(13)&amp;CHAR(9)&amp;CHAR(9)&amp;"&lt;/"&amp;BW47&amp;"&gt;")</f>
        <v/>
      </c>
      <c r="K47" s="3" t="str">
        <f>IF(ISBLANK(CC47),"",CHAR(13)&amp;CHAR(9)&amp;CHAR(9)&amp;"&lt;"&amp;CD47&amp;"&gt;"&amp;CHAR(13)&amp;CHAR(9)&amp;CHAR(9)&amp;CHAR(9)&amp;"&lt;name&gt;"&amp;CC47&amp;"&lt;/name&gt;"&amp;CHAR(13)&amp;CHAR(9)&amp;CHAR(9)&amp;CHAR(9)&amp;"&lt;text&gt;"&amp;CE47&amp;"&lt;/text&gt;"&amp;IF(ISBLANK(CG47),"",CHAR(13)&amp;CHAR(9)&amp;CHAR(9)&amp;CHAR(9)&amp;"&lt;attack&gt;"&amp;CG47&amp;"|"&amp;CH47&amp;"|"&amp;CI47&amp;"&lt;/attack&gt;")&amp;CHAR(13)&amp;CHAR(9)&amp;CHAR(9)&amp;"&lt;/"&amp;CD47&amp;"&gt;")</f>
        <v/>
      </c>
      <c r="L47" s="1" t="s">
        <v>1</v>
      </c>
      <c r="M47" s="1" t="s">
        <v>275</v>
      </c>
      <c r="N47" s="1">
        <f>DruidAlignment</f>
        <v>0</v>
      </c>
      <c r="O47" s="2" t="s">
        <v>208</v>
      </c>
      <c r="P47" s="1" t="s">
        <v>2</v>
      </c>
      <c r="Q47" s="1">
        <v>12</v>
      </c>
      <c r="R47" s="1"/>
      <c r="S47" s="1">
        <v>19</v>
      </c>
      <c r="T47" s="1">
        <v>5</v>
      </c>
      <c r="W47" s="1">
        <v>60</v>
      </c>
      <c r="Y47" s="1">
        <v>13</v>
      </c>
      <c r="Z47" s="1">
        <v>15</v>
      </c>
      <c r="AA47" s="1">
        <v>12</v>
      </c>
      <c r="AB47" s="10">
        <f>DruidInt</f>
        <v>0</v>
      </c>
      <c r="AC47" s="10">
        <f>DruidWis</f>
        <v>0</v>
      </c>
      <c r="AD47" s="10">
        <f>DruidCha</f>
        <v>0</v>
      </c>
      <c r="AE47" s="12"/>
      <c r="AF47" s="12">
        <v>1</v>
      </c>
      <c r="AG47" s="12">
        <v>4</v>
      </c>
      <c r="AH47" s="12" t="s">
        <v>173</v>
      </c>
      <c r="AI47" s="12" t="str">
        <f>IF(ISBLANK(DruidAcrobatics),"",", Acrobatics +"&amp;DruidAcrobatics)&amp;IF(ISBLANK(DruidAnimalHandling),"",", Animal Handling +"&amp;DruidAnimalHandling)&amp;IF(ISBLANK(DruidArcana),"",", Arcana +"&amp;DruidArcana)&amp;IF(DruidAthletics+AE47=0,"",", Athletics +"&amp;MAX(DruidAthletics,AE47))&amp;IF(ISBLANK(DruidDeception),"",",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+"&amp;DruidNature)&amp;IF(DruidPerception+AF47=0,"",", Perception +"&amp;MAX(DruidPerception,AF47))&amp;IF(ISBLANK(DruidPerformance),"",", Performance +"&amp;DruidPerformance)&amp;IF(ISBLANK(DruidPersuasion),"",", Persuasion +"&amp;DruidPersuasion)&amp;IF(ISBLANK(DruidReligion),"",", Religion +"&amp;DruidReligion)&amp;IF(ISBLANK(DruidSleightofHand),"",", Sleight of Hand +"&amp;DruidSleightofHand)&amp;IF(DruidStealth+AG47=0,"",", Stealth +"&amp;MAX(DruidStealth,AG47))&amp;IF(ISBLANK(DruidSurvival),"",", Survival +"&amp;DruidSurvival)</f>
        <v>, Perception +1, Stealth +4</v>
      </c>
      <c r="AJ47" s="1" t="str">
        <f>RIGHT(AI47,LEN(AI47)-2)</f>
        <v>Perception +1, Stealth +4</v>
      </c>
      <c r="AK4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7" s="1" t="s">
        <v>173</v>
      </c>
      <c r="AM47" s="1" t="s">
        <v>182</v>
      </c>
      <c r="AN47" s="3">
        <f>IF(DruidPerception+AF47=0,10+(ROUNDDOWN((AC47-10)/2,0)),10+MAX(DruidPerception,AF47))</f>
        <v>11</v>
      </c>
      <c r="AO47" s="1"/>
      <c r="AP47" s="1"/>
      <c r="AQ47" s="1"/>
      <c r="AR47" s="1"/>
      <c r="AS47" s="1" t="s">
        <v>142</v>
      </c>
      <c r="AT47" s="3" t="s">
        <v>95</v>
      </c>
      <c r="AU47" s="3" t="s">
        <v>148</v>
      </c>
      <c r="AV47" s="3" t="s">
        <v>495</v>
      </c>
      <c r="AW47" s="3" t="s">
        <v>173</v>
      </c>
      <c r="AZ47" s="3"/>
      <c r="BA47" s="3" t="s">
        <v>309</v>
      </c>
      <c r="BB47" s="3" t="s">
        <v>148</v>
      </c>
      <c r="BC47" s="3" t="s">
        <v>310</v>
      </c>
      <c r="BD47" s="3" t="s">
        <v>173</v>
      </c>
      <c r="BG47" s="3"/>
      <c r="BH47" s="3" t="s">
        <v>243</v>
      </c>
      <c r="BI47" s="3" t="s">
        <v>150</v>
      </c>
      <c r="BJ47" s="3" t="s">
        <v>456</v>
      </c>
      <c r="BK47" s="3" t="s">
        <v>173</v>
      </c>
      <c r="BL47" s="3" t="s">
        <v>243</v>
      </c>
      <c r="BM47" s="3">
        <v>3</v>
      </c>
      <c r="BN47" s="3" t="s">
        <v>311</v>
      </c>
      <c r="BR47" s="3" t="s">
        <v>173</v>
      </c>
      <c r="BY47" s="3" t="s">
        <v>173</v>
      </c>
      <c r="CJ47" s="6">
        <v>0.25</v>
      </c>
      <c r="CK47" s="6">
        <f>IF(CJ47&lt;0.26,2,IF(CJ47&lt;0.51,4,IF(CJ47&lt;1.1,8,99)))</f>
        <v>2</v>
      </c>
      <c r="CL47" s="3">
        <f>IF(M47="Elemental",10,IF(CJ47&lt;2,2,CJ47*3))</f>
        <v>2</v>
      </c>
      <c r="CM47" s="3">
        <f>IF(W47&gt;0,8,0)</f>
        <v>8</v>
      </c>
      <c r="CN47" s="3">
        <f>IF(X47&gt;0,4,0)</f>
        <v>0</v>
      </c>
    </row>
    <row r="48" spans="1:92">
      <c r="A48" s="3" t="str">
        <f>IF(DruidLevel&lt;B48,"",CHAR(9)&amp;"&lt;monster&gt;"&amp;CHAR(13)&amp;CHAR(9)&amp;CHAR(9)&amp;"&lt;name&gt;"&amp;L48&amp;" (Wild Shape)&lt;/name&gt;"&amp;CHAR(13)&amp;CHAR(9)&amp;CHAR(9)&amp;"&lt;size&gt;"&amp;LEFT(P48,1)&amp;"&lt;/size&gt;"&amp;CHAR(13)&amp;CHAR(9)&amp;CHAR(9)&amp;"&lt;type&gt;"&amp;M48&amp;"&lt;/type&gt;"&amp;CHAR(13)&amp;CHAR(9)&amp;CHAR(9)&amp;"&lt;alignment&gt;"&amp;N48&amp;"&lt;/alignment&gt;"&amp;CHAR(13)&amp;CHAR(9)&amp;CHAR(9)&amp;"&lt;ac&gt;"&amp;Q48&amp;IF(ISBLANK(R48),""," ("&amp;R48&amp;")")&amp;"&lt;/ac&gt;"&amp;CHAR(13)&amp;CHAR(9)&amp;CHAR(9)&amp;"&lt;hp&gt;"&amp;S48&amp;"&lt;/hp&gt;"&amp;CHAR(13)&amp;CHAR(9)&amp;CHAR(9)&amp;"&lt;speed&gt;"&amp;E48&amp;"&lt;/speed&gt;"&amp;CHAR(13)&amp;CHAR(9)&amp;CHAR(9)&amp;"&lt;str&gt;"&amp;Y48&amp;"&lt;/str&gt;&lt;dex&gt;"&amp;Z48&amp;"&lt;/dex&gt;&lt;con&gt;"&amp;AA48&amp;"&lt;/con&gt;&lt;int&gt;"&amp;AB48&amp;"&lt;/int&gt;&lt;wis&gt;"&amp;AC48&amp;"&lt;/wis&gt;&lt;cha&gt;"&amp;AD48&amp;"&lt;/cha&gt;"&amp;CHAR(13)&amp;CHAR(9)&amp;CHAR(9)&amp;"&lt;save&gt;"&amp;AK48&amp;"&lt;/save&gt;"&amp;CHAR(13)&amp;CHAR(9)&amp;CHAR(9)&amp;"&lt;skill&gt;"&amp;AJ48&amp;"&lt;/skill&gt;"&amp;CHAR(13)&amp;CHAR(9)&amp;CHAR(9)&amp;"&lt;vulnerable&gt;"&amp;AO48&amp;"&lt;/vulnerable&gt;"&amp;CHAR(13)&amp;CHAR(9)&amp;CHAR(9)&amp;"&lt;resist&gt;"&amp;AP48&amp;"&lt;/resist&gt;"&amp;CHAR(13)&amp;CHAR(9)&amp;CHAR(9)&amp;"&lt;immune&gt;"&amp;AQ48&amp;"&lt;/immune&gt;"&amp;CHAR(13)&amp;CHAR(9)&amp;CHAR(9)&amp;"&lt;conditionImmune&gt;"&amp;AR48&amp;"&lt;/conditionImmune&gt;"&amp;CHAR(13)&amp;CHAR(9)&amp;CHAR(9)&amp;"&lt;senses&gt;"&amp;AM48&amp;"&lt;/senses&gt;"&amp;CHAR(13)&amp;CHAR(9)&amp;CHAR(9)&amp;"&lt;passive&gt;"&amp;AN48&amp;"&lt;/passive&gt;"&amp;CHAR(13)&amp;CHAR(9)&amp;CHAR(9)&amp;"&lt;languages&gt;"&amp;AS48&amp;"&lt;/languages&gt;"&amp;CHAR(13)&amp;CHAR(9)&amp;CHAR(9)&amp;"&lt;cr&gt;"&amp;O48&amp;"&lt;/cr&gt;"&amp;F48&amp;G48&amp;H48&amp;I48&amp;J48&amp;K48&amp;IF(C48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8" s="3">
        <f>IF(COTM=TRUE,MAX(CL48,CM48,CN48),MAX(CK48,CM48,CN48))</f>
        <v>4</v>
      </c>
      <c r="C48" s="11" t="str">
        <f>IF(COTM=FALSE,"",IF(DruidLevel&gt;5,"Y",""))</f>
        <v/>
      </c>
      <c r="D48" s="3" t="s">
        <v>173</v>
      </c>
      <c r="E48" s="3" t="str">
        <f>T48&amp;" ft."&amp;IF(U48+V48+W48+X48=0,"",", ")&amp;IF(ISBLANK(U48),"","burrow "&amp;U48&amp;" ft."&amp;IF(V48+W48+X48=0,"",", "))&amp;IF(ISBLANK(V48),"","climb "&amp;V48&amp;" ft."&amp;IF(W48+X48=0,"",", "))&amp;IF(ISBLANK(W48),"","fly "&amp;W48&amp;" ft."&amp;IF(X48=0,"",", "))&amp;IF(ISBLANK(X48),"","swim "&amp;X48&amp;" ft.")</f>
        <v>30 ft., swim 30 ft.</v>
      </c>
      <c r="F48" s="3" t="str">
        <f>IF(ISBLANK(AT48),"",CHAR(13)&amp;CHAR(9)&amp;CHAR(9)&amp;"&lt;"&amp;AU48&amp;"&gt;"&amp;CHAR(13)&amp;CHAR(9)&amp;CHAR(9)&amp;CHAR(9)&amp;"&lt;name&gt;"&amp;AT48&amp;"&lt;/name&gt;"&amp;CHAR(13)&amp;CHAR(9)&amp;CHAR(9)&amp;CHAR(9)&amp;"&lt;text&gt;"&amp;AV48&amp;"&lt;/text&gt;"&amp;IF(ISBLANK(AX48),"",CHAR(13)&amp;CHAR(9)&amp;CHAR(9)&amp;CHAR(9)&amp;"&lt;attack&gt;"&amp;AX48&amp;"|"&amp;AY48&amp;"|"&amp;AZ48&amp;"&lt;/attack&gt;")&amp;CHAR(13)&amp;CHAR(9)&amp;CHAR(9)&amp;"&lt;/"&amp;AU48&amp;"&gt;")</f>
        <v>_x000D_		&lt;action&gt;_x000D_			&lt;name&gt;Bite&lt;/name&gt;_x000D_			&lt;text&gt;Melee Weapon Attack: +6 to hit, reach 10 ft., one target. Hit: 6 (1d4+4) piercing damage, and the target must make a DC 11 Constitution saving throw, taking 10 (3d6) poison damage on a failed save, or half as much damage on a successful one.&lt;/text&gt;_x000D_			&lt;attack&gt;Bite|6|1d4+4&lt;/attack&gt;_x000D_		&lt;/action&gt;</v>
      </c>
      <c r="G48" s="3" t="str">
        <f>IF(ISBLANK(BA48),"",CHAR(13)&amp;CHAR(9)&amp;CHAR(9)&amp;"&lt;"&amp;BB48&amp;"&gt;"&amp;CHAR(13)&amp;CHAR(9)&amp;CHAR(9)&amp;CHAR(9)&amp;"&lt;name&gt;"&amp;BA48&amp;"&lt;/name&gt;"&amp;CHAR(13)&amp;CHAR(9)&amp;CHAR(9)&amp;CHAR(9)&amp;"&lt;text&gt;"&amp;BC48&amp;"&lt;/text&gt;"&amp;IF(ISBLANK(BE48),"",CHAR(13)&amp;CHAR(9)&amp;CHAR(9)&amp;CHAR(9)&amp;"&lt;attack&gt;"&amp;BE48&amp;"|"&amp;BF48&amp;"|"&amp;BG48&amp;"&lt;/attack&gt;")&amp;CHAR(13)&amp;CHAR(9)&amp;CHAR(9)&amp;"&lt;/"&amp;BB48&amp;"&gt;")</f>
        <v/>
      </c>
      <c r="H48" s="3" t="str">
        <f>IF(ISBLANK(BH48),"",CHAR(13)&amp;CHAR(9)&amp;CHAR(9)&amp;"&lt;"&amp;BI48&amp;"&gt;"&amp;CHAR(13)&amp;CHAR(9)&amp;CHAR(9)&amp;CHAR(9)&amp;"&lt;name&gt;"&amp;BH48&amp;"&lt;/name&gt;"&amp;CHAR(13)&amp;CHAR(9)&amp;CHAR(9)&amp;CHAR(9)&amp;"&lt;text&gt;"&amp;BJ48&amp;"&lt;/text&gt;"&amp;IF(ISBLANK(BL48),"",CHAR(13)&amp;CHAR(9)&amp;CHAR(9)&amp;CHAR(9)&amp;"&lt;attack&gt;"&amp;BL48&amp;"|"&amp;BM48&amp;"|"&amp;BN48&amp;"&lt;/attack&gt;")&amp;CHAR(13)&amp;CHAR(9)&amp;CHAR(9)&amp;"&lt;/"&amp;BI48&amp;"&gt;")</f>
        <v/>
      </c>
      <c r="I48" s="3" t="str">
        <f>IF(ISBLANK(BO48),"",CHAR(13)&amp;CHAR(9)&amp;CHAR(9)&amp;"&lt;"&amp;BP48&amp;"&gt;"&amp;CHAR(13)&amp;CHAR(9)&amp;CHAR(9)&amp;CHAR(9)&amp;"&lt;name&gt;"&amp;BO48&amp;"&lt;/name&gt;"&amp;CHAR(13)&amp;CHAR(9)&amp;CHAR(9)&amp;CHAR(9)&amp;"&lt;text&gt;"&amp;BQ48&amp;"&lt;/text&gt;"&amp;IF(ISBLANK(BS48),"",CHAR(13)&amp;CHAR(9)&amp;CHAR(9)&amp;CHAR(9)&amp;"&lt;attack&gt;"&amp;BS48&amp;"|"&amp;BT48&amp;"|"&amp;BU48&amp;"&lt;/attack&gt;")&amp;CHAR(13)&amp;CHAR(9)&amp;CHAR(9)&amp;"&lt;/"&amp;BP48&amp;"&gt;")</f>
        <v/>
      </c>
      <c r="J48" s="3" t="str">
        <f>IF(ISBLANK(BV48),"",CHAR(13)&amp;CHAR(9)&amp;CHAR(9)&amp;"&lt;"&amp;BW48&amp;"&gt;"&amp;CHAR(13)&amp;CHAR(9)&amp;CHAR(9)&amp;CHAR(9)&amp;"&lt;name&gt;"&amp;BV48&amp;"&lt;/name&gt;"&amp;CHAR(13)&amp;CHAR(9)&amp;CHAR(9)&amp;CHAR(9)&amp;"&lt;text&gt;"&amp;BX48&amp;"&lt;/text&gt;"&amp;IF(ISBLANK(BZ48),"",CHAR(13)&amp;CHAR(9)&amp;CHAR(9)&amp;CHAR(9)&amp;"&lt;attack&gt;"&amp;BZ48&amp;"|"&amp;CA48&amp;"|"&amp;CB48&amp;"&lt;/attack&gt;")&amp;CHAR(13)&amp;CHAR(9)&amp;CHAR(9)&amp;"&lt;/"&amp;BW48&amp;"&gt;")</f>
        <v/>
      </c>
      <c r="K48" s="3" t="str">
        <f>IF(ISBLANK(CC48),"",CHAR(13)&amp;CHAR(9)&amp;CHAR(9)&amp;"&lt;"&amp;CD48&amp;"&gt;"&amp;CHAR(13)&amp;CHAR(9)&amp;CHAR(9)&amp;CHAR(9)&amp;"&lt;name&gt;"&amp;CC48&amp;"&lt;/name&gt;"&amp;CHAR(13)&amp;CHAR(9)&amp;CHAR(9)&amp;CHAR(9)&amp;"&lt;text&gt;"&amp;CE48&amp;"&lt;/text&gt;"&amp;IF(ISBLANK(CG48),"",CHAR(13)&amp;CHAR(9)&amp;CHAR(9)&amp;CHAR(9)&amp;"&lt;attack&gt;"&amp;CG48&amp;"|"&amp;CH48&amp;"|"&amp;CI48&amp;"&lt;/attack&gt;")&amp;CHAR(13)&amp;CHAR(9)&amp;CHAR(9)&amp;"&lt;/"&amp;CD48&amp;"&gt;")</f>
        <v/>
      </c>
      <c r="L48" s="1" t="s">
        <v>69</v>
      </c>
      <c r="M48" s="1" t="s">
        <v>275</v>
      </c>
      <c r="N48" s="1">
        <f>DruidAlignment</f>
        <v>0</v>
      </c>
      <c r="O48" s="2" t="s">
        <v>208</v>
      </c>
      <c r="P48" s="1" t="s">
        <v>17</v>
      </c>
      <c r="Q48" s="1">
        <v>14</v>
      </c>
      <c r="R48" s="1"/>
      <c r="S48" s="1">
        <v>11</v>
      </c>
      <c r="T48" s="1">
        <v>30</v>
      </c>
      <c r="X48" s="1">
        <v>30</v>
      </c>
      <c r="Y48" s="1">
        <v>10</v>
      </c>
      <c r="Z48" s="1">
        <v>18</v>
      </c>
      <c r="AA48" s="1">
        <v>13</v>
      </c>
      <c r="AB48" s="10">
        <f>DruidInt</f>
        <v>0</v>
      </c>
      <c r="AC48" s="10">
        <f>DruidWis</f>
        <v>0</v>
      </c>
      <c r="AD48" s="10">
        <f>DruidCha</f>
        <v>0</v>
      </c>
      <c r="AE48" s="12"/>
      <c r="AF48" s="12"/>
      <c r="AG48" s="12"/>
      <c r="AH48" s="12" t="s">
        <v>173</v>
      </c>
      <c r="AI48" s="12" t="str">
        <f>IF(ISBLANK(DruidAcrobatics),"",", Acrobatics +"&amp;DruidAcrobatics)&amp;IF(ISBLANK(DruidAnimalHandling),"",", Animal Handling +"&amp;DruidAnimalHandling)&amp;IF(ISBLANK(DruidArcana),"",", Arcana +"&amp;DruidArcana)&amp;IF(DruidAthletics+AE48=0,"",", Athletics +"&amp;MAX(DruidAthletics,AE48))&amp;IF(ISBLANK(DruidDeception),"",",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+"&amp;DruidNature)&amp;IF(DruidPerception+AF48=0,"",", Perception +"&amp;MAX(DruidPerception,AF48))&amp;IF(ISBLANK(DruidPerformance),"",", Performance +"&amp;DruidPerformance)&amp;IF(ISBLANK(DruidPersuasion),"",", Persuasion +"&amp;DruidPersuasion)&amp;IF(ISBLANK(DruidReligion),"",", Religion +"&amp;DruidReligion)&amp;IF(ISBLANK(DruidSleightofHand),"",", Sleight of Hand +"&amp;DruidSleightofHand)&amp;IF(DruidStealth+AG48=0,"",", Stealth +"&amp;MAX(DruidStealth,AG48))&amp;IF(ISBLANK(DruidSurvival),"",", Survival +"&amp;DruidSurvival)</f>
        <v/>
      </c>
      <c r="AJ48" s="1" t="e">
        <f>RIGHT(AI48,LEN(AI48)-2)</f>
        <v>#VALUE!</v>
      </c>
      <c r="AK4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8" s="1" t="s">
        <v>173</v>
      </c>
      <c r="AM48" s="1" t="s">
        <v>180</v>
      </c>
      <c r="AN48" s="3">
        <f>IF(DruidPerception+AF48=0,10+(ROUNDDOWN((AC48-10)/2,0)),10+MAX(DruidPerception,AF48))</f>
        <v>5</v>
      </c>
      <c r="AO48" s="1"/>
      <c r="AP48" s="1"/>
      <c r="AQ48" s="1"/>
      <c r="AR48" s="1"/>
      <c r="AS48" s="1"/>
      <c r="AT48" s="3" t="s">
        <v>161</v>
      </c>
      <c r="AU48" s="3" t="s">
        <v>150</v>
      </c>
      <c r="AV48" s="3" t="s">
        <v>457</v>
      </c>
      <c r="AW48" s="3" t="s">
        <v>173</v>
      </c>
      <c r="AX48" s="3" t="s">
        <v>161</v>
      </c>
      <c r="AY48" s="3">
        <v>6</v>
      </c>
      <c r="AZ48" s="3" t="s">
        <v>312</v>
      </c>
      <c r="BD48" s="3" t="s">
        <v>173</v>
      </c>
      <c r="BG48" s="3"/>
      <c r="BK48" s="3" t="s">
        <v>173</v>
      </c>
      <c r="BN48" s="3"/>
      <c r="BR48" s="3" t="s">
        <v>173</v>
      </c>
      <c r="BY48" s="3" t="s">
        <v>173</v>
      </c>
      <c r="CJ48" s="6">
        <v>0.25</v>
      </c>
      <c r="CK48" s="6">
        <f>IF(CJ48&lt;0.26,2,IF(CJ48&lt;0.51,4,IF(CJ48&lt;1.1,8,99)))</f>
        <v>2</v>
      </c>
      <c r="CL48" s="3">
        <f>IF(M48="Elemental",10,IF(CJ48&lt;2,2,CJ48*3))</f>
        <v>2</v>
      </c>
      <c r="CM48" s="3">
        <f>IF(W48&gt;0,8,0)</f>
        <v>0</v>
      </c>
      <c r="CN48" s="3">
        <f>IF(X48&gt;0,4,0)</f>
        <v>4</v>
      </c>
    </row>
    <row r="49" spans="1:92">
      <c r="A49" s="3" t="str">
        <f>IF(DruidLevel&lt;B49,"",CHAR(9)&amp;"&lt;monster&gt;"&amp;CHAR(13)&amp;CHAR(9)&amp;CHAR(9)&amp;"&lt;name&gt;"&amp;L49&amp;" (Wild Shape)&lt;/name&gt;"&amp;CHAR(13)&amp;CHAR(9)&amp;CHAR(9)&amp;"&lt;size&gt;"&amp;LEFT(P49,1)&amp;"&lt;/size&gt;"&amp;CHAR(13)&amp;CHAR(9)&amp;CHAR(9)&amp;"&lt;type&gt;"&amp;M49&amp;"&lt;/type&gt;"&amp;CHAR(13)&amp;CHAR(9)&amp;CHAR(9)&amp;"&lt;alignment&gt;"&amp;N49&amp;"&lt;/alignment&gt;"&amp;CHAR(13)&amp;CHAR(9)&amp;CHAR(9)&amp;"&lt;ac&gt;"&amp;Q49&amp;IF(ISBLANK(R49),""," ("&amp;R49&amp;")")&amp;"&lt;/ac&gt;"&amp;CHAR(13)&amp;CHAR(9)&amp;CHAR(9)&amp;"&lt;hp&gt;"&amp;S49&amp;"&lt;/hp&gt;"&amp;CHAR(13)&amp;CHAR(9)&amp;CHAR(9)&amp;"&lt;speed&gt;"&amp;E49&amp;"&lt;/speed&gt;"&amp;CHAR(13)&amp;CHAR(9)&amp;CHAR(9)&amp;"&lt;str&gt;"&amp;Y49&amp;"&lt;/str&gt;&lt;dex&gt;"&amp;Z49&amp;"&lt;/dex&gt;&lt;con&gt;"&amp;AA49&amp;"&lt;/con&gt;&lt;int&gt;"&amp;AB49&amp;"&lt;/int&gt;&lt;wis&gt;"&amp;AC49&amp;"&lt;/wis&gt;&lt;cha&gt;"&amp;AD49&amp;"&lt;/cha&gt;"&amp;CHAR(13)&amp;CHAR(9)&amp;CHAR(9)&amp;"&lt;save&gt;"&amp;AK49&amp;"&lt;/save&gt;"&amp;CHAR(13)&amp;CHAR(9)&amp;CHAR(9)&amp;"&lt;skill&gt;"&amp;AJ49&amp;"&lt;/skill&gt;"&amp;CHAR(13)&amp;CHAR(9)&amp;CHAR(9)&amp;"&lt;vulnerable&gt;"&amp;AO49&amp;"&lt;/vulnerable&gt;"&amp;CHAR(13)&amp;CHAR(9)&amp;CHAR(9)&amp;"&lt;resist&gt;"&amp;AP49&amp;"&lt;/resist&gt;"&amp;CHAR(13)&amp;CHAR(9)&amp;CHAR(9)&amp;"&lt;immune&gt;"&amp;AQ49&amp;"&lt;/immune&gt;"&amp;CHAR(13)&amp;CHAR(9)&amp;CHAR(9)&amp;"&lt;conditionImmune&gt;"&amp;AR49&amp;"&lt;/conditionImmune&gt;"&amp;CHAR(13)&amp;CHAR(9)&amp;CHAR(9)&amp;"&lt;senses&gt;"&amp;AM49&amp;"&lt;/senses&gt;"&amp;CHAR(13)&amp;CHAR(9)&amp;CHAR(9)&amp;"&lt;passive&gt;"&amp;AN49&amp;"&lt;/passive&gt;"&amp;CHAR(13)&amp;CHAR(9)&amp;CHAR(9)&amp;"&lt;languages&gt;"&amp;AS49&amp;"&lt;/languages&gt;"&amp;CHAR(13)&amp;CHAR(9)&amp;CHAR(9)&amp;"&lt;cr&gt;"&amp;O49&amp;"&lt;/cr&gt;"&amp;F49&amp;G49&amp;H49&amp;I49&amp;J49&amp;K49&amp;IF(C49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49" s="3">
        <f>IF(COTM=TRUE,MAX(CL49,CM49,CN49),MAX(CK49,CM49,CN49))</f>
        <v>2</v>
      </c>
      <c r="C49" s="11" t="str">
        <f>IF(COTM=FALSE,"",IF(DruidLevel&gt;5,"Y",""))</f>
        <v/>
      </c>
      <c r="D49" s="3" t="s">
        <v>173</v>
      </c>
      <c r="E49" s="3" t="str">
        <f>T49&amp;" ft."&amp;IF(U49+V49+W49+X49=0,"",", ")&amp;IF(ISBLANK(U49),"","burrow "&amp;U49&amp;" ft."&amp;IF(V49+W49+X49=0,"",", "))&amp;IF(ISBLANK(V49),"","climb "&amp;V49&amp;" ft."&amp;IF(W49+X49=0,"",", "))&amp;IF(ISBLANK(W49),"","fly "&amp;W49&amp;" ft."&amp;IF(X49=0,"",", "))&amp;IF(ISBLANK(X49),"","swim "&amp;X49&amp;" ft.")</f>
        <v>30 ft.</v>
      </c>
      <c r="F49" s="3" t="str">
        <f>IF(ISBLANK(AT49),"",CHAR(13)&amp;CHAR(9)&amp;CHAR(9)&amp;"&lt;"&amp;AU49&amp;"&gt;"&amp;CHAR(13)&amp;CHAR(9)&amp;CHAR(9)&amp;CHAR(9)&amp;"&lt;name&gt;"&amp;AT49&amp;"&lt;/name&gt;"&amp;CHAR(13)&amp;CHAR(9)&amp;CHAR(9)&amp;CHAR(9)&amp;"&lt;text&gt;"&amp;AV49&amp;"&lt;/text&gt;"&amp;IF(ISBLANK(AX49),"",CHAR(13)&amp;CHAR(9)&amp;CHAR(9)&amp;CHAR(9)&amp;"&lt;attack&gt;"&amp;AX49&amp;"|"&amp;AY49&amp;"|"&amp;AZ49&amp;"&lt;/attack&gt;")&amp;CHAR(13)&amp;CHAR(9)&amp;CHAR(9)&amp;"&lt;/"&amp;AU49&amp;"&gt;")</f>
        <v>_x000D_		&lt;trait&gt;_x000D_			&lt;name&gt;Keen Smell&lt;/name&gt;_x000D_			&lt;text&gt;The rat has advantage on Wisdom (Perception) checks that rely on smell.&lt;/text&gt;_x000D_		&lt;/trait&gt;</v>
      </c>
      <c r="G49" s="3" t="str">
        <f>IF(ISBLANK(BA49),"",CHAR(13)&amp;CHAR(9)&amp;CHAR(9)&amp;"&lt;"&amp;BB49&amp;"&gt;"&amp;CHAR(13)&amp;CHAR(9)&amp;CHAR(9)&amp;CHAR(9)&amp;"&lt;name&gt;"&amp;BA49&amp;"&lt;/name&gt;"&amp;CHAR(13)&amp;CHAR(9)&amp;CHAR(9)&amp;CHAR(9)&amp;"&lt;text&gt;"&amp;BC49&amp;"&lt;/text&gt;"&amp;IF(ISBLANK(BE49),"",CHAR(13)&amp;CHAR(9)&amp;CHAR(9)&amp;CHAR(9)&amp;"&lt;attack&gt;"&amp;BE49&amp;"|"&amp;BF49&amp;"|"&amp;BG49&amp;"&lt;/attack&gt;")&amp;CHAR(13)&amp;CHAR(9)&amp;CHAR(9)&amp;"&lt;/"&amp;BB49&amp;"&gt;")</f>
        <v>_x000D_		&lt;trait&gt;_x000D_			&lt;name&gt;Pack Tactics&lt;/name&gt;_x000D_			&lt;text&gt;The rat has advantage on an attack roll against a creature if at least one of the rat's allies is within 5 feet of the creature and the ally isn't incapacitated.&lt;/text&gt;_x000D_		&lt;/trait&gt;</v>
      </c>
      <c r="H49" s="3" t="str">
        <f>IF(ISBLANK(BH49),"",CHAR(13)&amp;CHAR(9)&amp;CHAR(9)&amp;"&lt;"&amp;BI49&amp;"&gt;"&amp;CHAR(13)&amp;CHAR(9)&amp;CHAR(9)&amp;CHAR(9)&amp;"&lt;name&gt;"&amp;BH49&amp;"&lt;/name&gt;"&amp;CHAR(13)&amp;CHAR(9)&amp;CHAR(9)&amp;CHAR(9)&amp;"&lt;text&gt;"&amp;BJ49&amp;"&lt;/text&gt;"&amp;IF(ISBLANK(BL49),"",CHAR(13)&amp;CHAR(9)&amp;CHAR(9)&amp;CHAR(9)&amp;"&lt;attack&gt;"&amp;BL49&amp;"|"&amp;BM49&amp;"|"&amp;BN49&amp;"&lt;/attack&gt;")&amp;CHAR(13)&amp;CHAR(9)&amp;CHAR(9)&amp;"&lt;/"&amp;BI49&amp;"&gt;")</f>
        <v>_x000D_		&lt;action&gt;_x000D_			&lt;name&gt;Bite&lt;/name&gt;_x000D_			&lt;text&gt;Melee Weapon Attack: +4 to hit, reach 5 ft., one target. Hit: 4 (1d4+2) piercing damage.&lt;/text&gt;_x000D_			&lt;attack&gt;Bite|4|1d4+2&lt;/attack&gt;_x000D_		&lt;/action&gt;</v>
      </c>
      <c r="I49" s="3" t="str">
        <f>IF(ISBLANK(BO49),"",CHAR(13)&amp;CHAR(9)&amp;CHAR(9)&amp;"&lt;"&amp;BP49&amp;"&gt;"&amp;CHAR(13)&amp;CHAR(9)&amp;CHAR(9)&amp;CHAR(9)&amp;"&lt;name&gt;"&amp;BO49&amp;"&lt;/name&gt;"&amp;CHAR(13)&amp;CHAR(9)&amp;CHAR(9)&amp;CHAR(9)&amp;"&lt;text&gt;"&amp;BQ49&amp;"&lt;/text&gt;"&amp;IF(ISBLANK(BS49),"",CHAR(13)&amp;CHAR(9)&amp;CHAR(9)&amp;CHAR(9)&amp;"&lt;attack&gt;"&amp;BS49&amp;"|"&amp;BT49&amp;"|"&amp;BU49&amp;"&lt;/attack&gt;")&amp;CHAR(13)&amp;CHAR(9)&amp;CHAR(9)&amp;"&lt;/"&amp;BP49&amp;"&gt;")</f>
        <v/>
      </c>
      <c r="J49" s="3" t="str">
        <f>IF(ISBLANK(BV49),"",CHAR(13)&amp;CHAR(9)&amp;CHAR(9)&amp;"&lt;"&amp;BW49&amp;"&gt;"&amp;CHAR(13)&amp;CHAR(9)&amp;CHAR(9)&amp;CHAR(9)&amp;"&lt;name&gt;"&amp;BV49&amp;"&lt;/name&gt;"&amp;CHAR(13)&amp;CHAR(9)&amp;CHAR(9)&amp;CHAR(9)&amp;"&lt;text&gt;"&amp;BX49&amp;"&lt;/text&gt;"&amp;IF(ISBLANK(BZ49),"",CHAR(13)&amp;CHAR(9)&amp;CHAR(9)&amp;CHAR(9)&amp;"&lt;attack&gt;"&amp;BZ49&amp;"|"&amp;CA49&amp;"|"&amp;CB49&amp;"&lt;/attack&gt;")&amp;CHAR(13)&amp;CHAR(9)&amp;CHAR(9)&amp;"&lt;/"&amp;BW49&amp;"&gt;")</f>
        <v/>
      </c>
      <c r="K49" s="3" t="str">
        <f>IF(ISBLANK(CC49),"",CHAR(13)&amp;CHAR(9)&amp;CHAR(9)&amp;"&lt;"&amp;CD49&amp;"&gt;"&amp;CHAR(13)&amp;CHAR(9)&amp;CHAR(9)&amp;CHAR(9)&amp;"&lt;name&gt;"&amp;CC49&amp;"&lt;/name&gt;"&amp;CHAR(13)&amp;CHAR(9)&amp;CHAR(9)&amp;CHAR(9)&amp;"&lt;text&gt;"&amp;CE49&amp;"&lt;/text&gt;"&amp;IF(ISBLANK(CG49),"",CHAR(13)&amp;CHAR(9)&amp;CHAR(9)&amp;CHAR(9)&amp;"&lt;attack&gt;"&amp;CG49&amp;"|"&amp;CH49&amp;"|"&amp;CI49&amp;"&lt;/attack&gt;")&amp;CHAR(13)&amp;CHAR(9)&amp;CHAR(9)&amp;"&lt;/"&amp;CD49&amp;"&gt;")</f>
        <v/>
      </c>
      <c r="L49" s="1" t="s">
        <v>30</v>
      </c>
      <c r="M49" s="1" t="s">
        <v>275</v>
      </c>
      <c r="N49" s="1">
        <f>DruidAlignment</f>
        <v>0</v>
      </c>
      <c r="O49" s="5" t="s">
        <v>207</v>
      </c>
      <c r="P49" s="1" t="s">
        <v>11</v>
      </c>
      <c r="Q49" s="1">
        <v>12</v>
      </c>
      <c r="R49" s="1"/>
      <c r="S49" s="1">
        <v>7</v>
      </c>
      <c r="T49" s="1">
        <v>30</v>
      </c>
      <c r="Y49" s="1">
        <v>7</v>
      </c>
      <c r="Z49" s="1">
        <v>15</v>
      </c>
      <c r="AA49" s="1">
        <v>11</v>
      </c>
      <c r="AB49" s="10">
        <f>DruidInt</f>
        <v>0</v>
      </c>
      <c r="AC49" s="10">
        <f>DruidWis</f>
        <v>0</v>
      </c>
      <c r="AD49" s="10">
        <f>DruidCha</f>
        <v>0</v>
      </c>
      <c r="AE49" s="12"/>
      <c r="AF49" s="12">
        <v>4</v>
      </c>
      <c r="AG49" s="12"/>
      <c r="AH49" s="12" t="s">
        <v>173</v>
      </c>
      <c r="AI49" s="12" t="str">
        <f>IF(ISBLANK(DruidAcrobatics),"",", Acrobatics +"&amp;DruidAcrobatics)&amp;IF(ISBLANK(DruidAnimalHandling),"",", Animal Handling +"&amp;DruidAnimalHandling)&amp;IF(ISBLANK(DruidArcana),"",", Arcana +"&amp;DruidArcana)&amp;IF(DruidAthletics+AE49=0,"",", Athletics +"&amp;MAX(DruidAthletics,AE49))&amp;IF(ISBLANK(DruidDeception),"",",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+"&amp;DruidNature)&amp;IF(DruidPerception+AF49=0,"",", Perception +"&amp;MAX(DruidPerception,AF49))&amp;IF(ISBLANK(DruidPerformance),"",", Performance +"&amp;DruidPerformance)&amp;IF(ISBLANK(DruidPersuasion),"",", Persuasion +"&amp;DruidPersuasion)&amp;IF(ISBLANK(DruidReligion),"",", Religion +"&amp;DruidReligion)&amp;IF(ISBLANK(DruidSleightofHand),"",", Sleight of Hand +"&amp;DruidSleightofHand)&amp;IF(DruidStealth+AG49=0,"",", Stealth +"&amp;MAX(DruidStealth,AG49))&amp;IF(ISBLANK(DruidSurvival),"",", Survival +"&amp;DruidSurvival)</f>
        <v>, Perception +4</v>
      </c>
      <c r="AJ49" s="1" t="str">
        <f>RIGHT(AI49,LEN(AI49)-2)</f>
        <v>Perception +4</v>
      </c>
      <c r="AK4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49" s="1" t="s">
        <v>173</v>
      </c>
      <c r="AM49" s="3" t="s">
        <v>176</v>
      </c>
      <c r="AN49" s="3">
        <f>IF(DruidPerception+AF49=0,10+(ROUNDDOWN((AC49-10)/2,0)),10+MAX(DruidPerception,AF49))</f>
        <v>14</v>
      </c>
      <c r="AO49" s="1"/>
      <c r="AP49" s="1"/>
      <c r="AQ49" s="1"/>
      <c r="AR49" s="1"/>
      <c r="AS49" s="1"/>
      <c r="AT49" s="3" t="s">
        <v>14</v>
      </c>
      <c r="AU49" s="3" t="s">
        <v>148</v>
      </c>
      <c r="AV49" s="3" t="s">
        <v>313</v>
      </c>
      <c r="AW49" s="3" t="s">
        <v>173</v>
      </c>
      <c r="AZ49" s="3"/>
      <c r="BA49" s="3" t="s">
        <v>12</v>
      </c>
      <c r="BB49" s="3" t="s">
        <v>148</v>
      </c>
      <c r="BC49" s="3" t="s">
        <v>484</v>
      </c>
      <c r="BD49" s="3" t="s">
        <v>173</v>
      </c>
      <c r="BG49" s="3"/>
      <c r="BH49" s="3" t="s">
        <v>161</v>
      </c>
      <c r="BI49" s="3" t="s">
        <v>150</v>
      </c>
      <c r="BJ49" s="3" t="s">
        <v>438</v>
      </c>
      <c r="BK49" s="3" t="s">
        <v>173</v>
      </c>
      <c r="BL49" s="3" t="s">
        <v>161</v>
      </c>
      <c r="BM49" s="3">
        <v>4</v>
      </c>
      <c r="BN49" s="3" t="s">
        <v>204</v>
      </c>
      <c r="BR49" s="3" t="s">
        <v>173</v>
      </c>
      <c r="BY49" s="3" t="s">
        <v>173</v>
      </c>
      <c r="CJ49" s="6">
        <v>0.125</v>
      </c>
      <c r="CK49" s="6">
        <f>IF(CJ49&lt;0.26,2,IF(CJ49&lt;0.51,4,IF(CJ49&lt;1.1,8,99)))</f>
        <v>2</v>
      </c>
      <c r="CL49" s="3">
        <f>IF(M49="Elemental",10,IF(CJ49&lt;2,2,CJ49*3))</f>
        <v>2</v>
      </c>
      <c r="CM49" s="3">
        <f>IF(W49&gt;0,8,0)</f>
        <v>0</v>
      </c>
      <c r="CN49" s="3">
        <f>IF(X49&gt;0,4,0)</f>
        <v>0</v>
      </c>
    </row>
    <row r="50" spans="1:92">
      <c r="A50" s="3" t="str">
        <f>IF(DruidLevel&lt;B50,"",CHAR(9)&amp;"&lt;monster&gt;"&amp;CHAR(13)&amp;CHAR(9)&amp;CHAR(9)&amp;"&lt;name&gt;"&amp;L50&amp;" (Wild Shape)&lt;/name&gt;"&amp;CHAR(13)&amp;CHAR(9)&amp;CHAR(9)&amp;"&lt;size&gt;"&amp;LEFT(P50,1)&amp;"&lt;/size&gt;"&amp;CHAR(13)&amp;CHAR(9)&amp;CHAR(9)&amp;"&lt;type&gt;"&amp;M50&amp;"&lt;/type&gt;"&amp;CHAR(13)&amp;CHAR(9)&amp;CHAR(9)&amp;"&lt;alignment&gt;"&amp;N50&amp;"&lt;/alignment&gt;"&amp;CHAR(13)&amp;CHAR(9)&amp;CHAR(9)&amp;"&lt;ac&gt;"&amp;Q50&amp;IF(ISBLANK(R50),""," ("&amp;R50&amp;")")&amp;"&lt;/ac&gt;"&amp;CHAR(13)&amp;CHAR(9)&amp;CHAR(9)&amp;"&lt;hp&gt;"&amp;S50&amp;"&lt;/hp&gt;"&amp;CHAR(13)&amp;CHAR(9)&amp;CHAR(9)&amp;"&lt;speed&gt;"&amp;E50&amp;"&lt;/speed&gt;"&amp;CHAR(13)&amp;CHAR(9)&amp;CHAR(9)&amp;"&lt;str&gt;"&amp;Y50&amp;"&lt;/str&gt;&lt;dex&gt;"&amp;Z50&amp;"&lt;/dex&gt;&lt;con&gt;"&amp;AA50&amp;"&lt;/con&gt;&lt;int&gt;"&amp;AB50&amp;"&lt;/int&gt;&lt;wis&gt;"&amp;AC50&amp;"&lt;/wis&gt;&lt;cha&gt;"&amp;AD50&amp;"&lt;/cha&gt;"&amp;CHAR(13)&amp;CHAR(9)&amp;CHAR(9)&amp;"&lt;save&gt;"&amp;AK50&amp;"&lt;/save&gt;"&amp;CHAR(13)&amp;CHAR(9)&amp;CHAR(9)&amp;"&lt;skill&gt;"&amp;AJ50&amp;"&lt;/skill&gt;"&amp;CHAR(13)&amp;CHAR(9)&amp;CHAR(9)&amp;"&lt;vulnerable&gt;"&amp;AO50&amp;"&lt;/vulnerable&gt;"&amp;CHAR(13)&amp;CHAR(9)&amp;CHAR(9)&amp;"&lt;resist&gt;"&amp;AP50&amp;"&lt;/resist&gt;"&amp;CHAR(13)&amp;CHAR(9)&amp;CHAR(9)&amp;"&lt;immune&gt;"&amp;AQ50&amp;"&lt;/immune&gt;"&amp;CHAR(13)&amp;CHAR(9)&amp;CHAR(9)&amp;"&lt;conditionImmune&gt;"&amp;AR50&amp;"&lt;/conditionImmune&gt;"&amp;CHAR(13)&amp;CHAR(9)&amp;CHAR(9)&amp;"&lt;senses&gt;"&amp;AM50&amp;"&lt;/senses&gt;"&amp;CHAR(13)&amp;CHAR(9)&amp;CHAR(9)&amp;"&lt;passive&gt;"&amp;AN50&amp;"&lt;/passive&gt;"&amp;CHAR(13)&amp;CHAR(9)&amp;CHAR(9)&amp;"&lt;languages&gt;"&amp;AS50&amp;"&lt;/languages&gt;"&amp;CHAR(13)&amp;CHAR(9)&amp;CHAR(9)&amp;"&lt;cr&gt;"&amp;O50&amp;"&lt;/cr&gt;"&amp;F50&amp;G50&amp;H50&amp;I50&amp;J50&amp;K50&amp;IF(C50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0" s="3">
        <f>IF(COTM=TRUE,MAX(CL50,CM50,CN50),MAX(CK50,CM50,CN50))</f>
        <v>99</v>
      </c>
      <c r="C50" s="11" t="str">
        <f>IF(COTM=FALSE,"",IF(DruidLevel&gt;5,"Y",""))</f>
        <v/>
      </c>
      <c r="D50" s="3" t="s">
        <v>173</v>
      </c>
      <c r="E50" s="3" t="str">
        <f>T50&amp;" ft."&amp;IF(U50+V50+W50+X50=0,"",", ")&amp;IF(ISBLANK(U50),"","burrow "&amp;U50&amp;" ft."&amp;IF(V50+W50+X50=0,"",", "))&amp;IF(ISBLANK(V50),"","climb "&amp;V50&amp;" ft."&amp;IF(W50+X50=0,"",", "))&amp;IF(ISBLANK(W50),"","fly "&amp;W50&amp;" ft."&amp;IF(X50=0,"",", "))&amp;IF(ISBLANK(X50),"","swim "&amp;X50&amp;" ft.")</f>
        <v>40 ft.</v>
      </c>
      <c r="F50" s="3" t="str">
        <f>IF(ISBLANK(AT50),"",CHAR(13)&amp;CHAR(9)&amp;CHAR(9)&amp;"&lt;"&amp;AU50&amp;"&gt;"&amp;CHAR(13)&amp;CHAR(9)&amp;CHAR(9)&amp;CHAR(9)&amp;"&lt;name&gt;"&amp;AT50&amp;"&lt;/name&gt;"&amp;CHAR(13)&amp;CHAR(9)&amp;CHAR(9)&amp;CHAR(9)&amp;"&lt;text&gt;"&amp;AV50&amp;"&lt;/text&gt;"&amp;IF(ISBLANK(AX50),"",CHAR(13)&amp;CHAR(9)&amp;CHAR(9)&amp;CHAR(9)&amp;"&lt;attack&gt;"&amp;AX50&amp;"|"&amp;AY50&amp;"|"&amp;AZ50&amp;"&lt;/attack&gt;")&amp;CHAR(13)&amp;CHAR(9)&amp;CHAR(9)&amp;"&lt;/"&amp;AU50&amp;"&gt;")</f>
        <v>_x000D_		&lt;action&gt;_x000D_			&lt;name&gt;Multiattack&lt;/name&gt;_x000D_			&lt;text&gt;The scorpion makes three attacks: two with its claws and one with its sting.&lt;/text&gt;_x000D_		&lt;/action&gt;</v>
      </c>
      <c r="G50" s="3" t="str">
        <f>IF(ISBLANK(BA50),"",CHAR(13)&amp;CHAR(9)&amp;CHAR(9)&amp;"&lt;"&amp;BB50&amp;"&gt;"&amp;CHAR(13)&amp;CHAR(9)&amp;CHAR(9)&amp;CHAR(9)&amp;"&lt;name&gt;"&amp;BA50&amp;"&lt;/name&gt;"&amp;CHAR(13)&amp;CHAR(9)&amp;CHAR(9)&amp;CHAR(9)&amp;"&lt;text&gt;"&amp;BC50&amp;"&lt;/text&gt;"&amp;IF(ISBLANK(BE50),"",CHAR(13)&amp;CHAR(9)&amp;CHAR(9)&amp;CHAR(9)&amp;"&lt;attack&gt;"&amp;BE50&amp;"|"&amp;BF50&amp;"|"&amp;BG50&amp;"&lt;/attack&gt;")&amp;CHAR(13)&amp;CHAR(9)&amp;CHAR(9)&amp;"&lt;/"&amp;BB50&amp;"&gt;")</f>
        <v>_x000D_		&lt;action&gt;_x000D_			&lt;name&gt;Claw&lt;/name&gt;_x000D_			&lt;text&gt;Melee Weapon Attack: +4 to hit, reach 5 ft., one target. Hit: 6 (1d8 + 2) bludgeoning damage, and the target is grappled (escape DC 12). The scorpion has two claws, each of which can grapple only one target.&lt;/text&gt;_x000D_			&lt;attack&gt;Claw|4|1d8+2&lt;/attack&gt;_x000D_		&lt;/action&gt;</v>
      </c>
      <c r="H50" s="3" t="str">
        <f>IF(ISBLANK(BH50),"",CHAR(13)&amp;CHAR(9)&amp;CHAR(9)&amp;"&lt;"&amp;BI50&amp;"&gt;"&amp;CHAR(13)&amp;CHAR(9)&amp;CHAR(9)&amp;CHAR(9)&amp;"&lt;name&gt;"&amp;BH50&amp;"&lt;/name&gt;"&amp;CHAR(13)&amp;CHAR(9)&amp;CHAR(9)&amp;CHAR(9)&amp;"&lt;text&gt;"&amp;BJ50&amp;"&lt;/text&gt;"&amp;IF(ISBLANK(BL50),"",CHAR(13)&amp;CHAR(9)&amp;CHAR(9)&amp;CHAR(9)&amp;"&lt;attack&gt;"&amp;BL50&amp;"|"&amp;BM50&amp;"|"&amp;BN50&amp;"&lt;/attack&gt;")&amp;CHAR(13)&amp;CHAR(9)&amp;CHAR(9)&amp;"&lt;/"&amp;BI50&amp;"&gt;")</f>
        <v>_x000D_		&lt;action&gt;_x000D_			&lt;name&gt;Sting&lt;/name&gt;_x000D_			&lt;text&gt;Melee Weapon Attack: +4 to hit, reach 5 ft., one creature. Hit: 7 (1d10 + 2) piercing damage, and the target must make a DC 12 Constitution saving throw, taking 22 (4d10) poison damage on a failed save, or half as much damage on a successful one.&lt;/text&gt;_x000D_			&lt;attack&gt;Sting|4|1d10+2&lt;/attack&gt;_x000D_		&lt;/action&gt;</v>
      </c>
      <c r="I50" s="3" t="str">
        <f>IF(ISBLANK(BO50),"",CHAR(13)&amp;CHAR(9)&amp;CHAR(9)&amp;"&lt;"&amp;BP50&amp;"&gt;"&amp;CHAR(13)&amp;CHAR(9)&amp;CHAR(9)&amp;CHAR(9)&amp;"&lt;name&gt;"&amp;BO50&amp;"&lt;/name&gt;"&amp;CHAR(13)&amp;CHAR(9)&amp;CHAR(9)&amp;CHAR(9)&amp;"&lt;text&gt;"&amp;BQ50&amp;"&lt;/text&gt;"&amp;IF(ISBLANK(BS50),"",CHAR(13)&amp;CHAR(9)&amp;CHAR(9)&amp;CHAR(9)&amp;"&lt;attack&gt;"&amp;BS50&amp;"|"&amp;BT50&amp;"|"&amp;BU50&amp;"&lt;/attack&gt;")&amp;CHAR(13)&amp;CHAR(9)&amp;CHAR(9)&amp;"&lt;/"&amp;BP50&amp;"&gt;")</f>
        <v/>
      </c>
      <c r="J50" s="3" t="str">
        <f>IF(ISBLANK(BV50),"",CHAR(13)&amp;CHAR(9)&amp;CHAR(9)&amp;"&lt;"&amp;BW50&amp;"&gt;"&amp;CHAR(13)&amp;CHAR(9)&amp;CHAR(9)&amp;CHAR(9)&amp;"&lt;name&gt;"&amp;BV50&amp;"&lt;/name&gt;"&amp;CHAR(13)&amp;CHAR(9)&amp;CHAR(9)&amp;CHAR(9)&amp;"&lt;text&gt;"&amp;BX50&amp;"&lt;/text&gt;"&amp;IF(ISBLANK(BZ50),"",CHAR(13)&amp;CHAR(9)&amp;CHAR(9)&amp;CHAR(9)&amp;"&lt;attack&gt;"&amp;BZ50&amp;"|"&amp;CA50&amp;"|"&amp;CB50&amp;"&lt;/attack&gt;")&amp;CHAR(13)&amp;CHAR(9)&amp;CHAR(9)&amp;"&lt;/"&amp;BW50&amp;"&gt;")</f>
        <v/>
      </c>
      <c r="K50" s="3" t="str">
        <f>IF(ISBLANK(CC50),"",CHAR(13)&amp;CHAR(9)&amp;CHAR(9)&amp;"&lt;"&amp;CD50&amp;"&gt;"&amp;CHAR(13)&amp;CHAR(9)&amp;CHAR(9)&amp;CHAR(9)&amp;"&lt;name&gt;"&amp;CC50&amp;"&lt;/name&gt;"&amp;CHAR(13)&amp;CHAR(9)&amp;CHAR(9)&amp;CHAR(9)&amp;"&lt;text&gt;"&amp;CE50&amp;"&lt;/text&gt;"&amp;IF(ISBLANK(CG50),"",CHAR(13)&amp;CHAR(9)&amp;CHAR(9)&amp;CHAR(9)&amp;"&lt;attack&gt;"&amp;CG50&amp;"|"&amp;CH50&amp;"|"&amp;CI50&amp;"&lt;/attack&gt;")&amp;CHAR(13)&amp;CHAR(9)&amp;CHAR(9)&amp;"&lt;/"&amp;CD50&amp;"&gt;")</f>
        <v/>
      </c>
      <c r="L50" s="1" t="s">
        <v>101</v>
      </c>
      <c r="M50" s="1" t="s">
        <v>275</v>
      </c>
      <c r="N50" s="1">
        <f>DruidAlignment</f>
        <v>0</v>
      </c>
      <c r="O50" s="2">
        <v>3</v>
      </c>
      <c r="P50" s="1" t="s">
        <v>2</v>
      </c>
      <c r="Q50" s="1">
        <v>15</v>
      </c>
      <c r="R50" s="1" t="s">
        <v>405</v>
      </c>
      <c r="S50" s="1">
        <v>52</v>
      </c>
      <c r="T50" s="1">
        <v>40</v>
      </c>
      <c r="Y50" s="1">
        <v>15</v>
      </c>
      <c r="Z50" s="1">
        <v>13</v>
      </c>
      <c r="AA50" s="1">
        <v>15</v>
      </c>
      <c r="AB50" s="10">
        <f>DruidInt</f>
        <v>0</v>
      </c>
      <c r="AC50" s="10">
        <f>DruidWis</f>
        <v>0</v>
      </c>
      <c r="AD50" s="10">
        <f>DruidCha</f>
        <v>0</v>
      </c>
      <c r="AE50" s="12"/>
      <c r="AF50" s="12"/>
      <c r="AG50" s="12"/>
      <c r="AH50" s="12" t="s">
        <v>173</v>
      </c>
      <c r="AI50" s="12" t="str">
        <f>IF(ISBLANK(DruidAcrobatics),"",", Acrobatics +"&amp;DruidAcrobatics)&amp;IF(ISBLANK(DruidAnimalHandling),"",", Animal Handling +"&amp;DruidAnimalHandling)&amp;IF(ISBLANK(DruidArcana),"",", Arcana +"&amp;DruidArcana)&amp;IF(DruidAthletics+AE50=0,"",", Athletics +"&amp;MAX(DruidAthletics,AE50))&amp;IF(ISBLANK(DruidDeception),"",",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+"&amp;DruidNature)&amp;IF(DruidPerception+AF50=0,"",", Perception +"&amp;MAX(DruidPerception,AF50))&amp;IF(ISBLANK(DruidPerformance),"",", Performance +"&amp;DruidPerformance)&amp;IF(ISBLANK(DruidPersuasion),"",", Persuasion +"&amp;DruidPersuasion)&amp;IF(ISBLANK(DruidReligion),"",", Religion +"&amp;DruidReligion)&amp;IF(ISBLANK(DruidSleightofHand),"",", Sleight of Hand +"&amp;DruidSleightofHand)&amp;IF(DruidStealth+AG50=0,"",", Stealth +"&amp;MAX(DruidStealth,AG50))&amp;IF(ISBLANK(DruidSurvival),"",", Survival +"&amp;DruidSurvival)</f>
        <v/>
      </c>
      <c r="AJ50" s="1" t="e">
        <f>RIGHT(AI50,LEN(AI50)-2)</f>
        <v>#VALUE!</v>
      </c>
      <c r="AK5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0" s="1" t="s">
        <v>173</v>
      </c>
      <c r="AM50" s="1" t="s">
        <v>179</v>
      </c>
      <c r="AN50" s="3">
        <f>IF(DruidPerception+AF50=0,10+(ROUNDDOWN((AC50-10)/2,0)),10+MAX(DruidPerception,AF50))</f>
        <v>5</v>
      </c>
      <c r="AO50" s="1"/>
      <c r="AP50" s="1"/>
      <c r="AQ50" s="1"/>
      <c r="AR50" s="1"/>
      <c r="AS50" s="1"/>
      <c r="AT50" s="3" t="s">
        <v>149</v>
      </c>
      <c r="AU50" s="3" t="s">
        <v>150</v>
      </c>
      <c r="AV50" s="3" t="s">
        <v>314</v>
      </c>
      <c r="AW50" s="3" t="s">
        <v>173</v>
      </c>
      <c r="AZ50" s="3"/>
      <c r="BA50" s="3" t="s">
        <v>164</v>
      </c>
      <c r="BB50" s="3" t="s">
        <v>150</v>
      </c>
      <c r="BC50" s="3" t="s">
        <v>315</v>
      </c>
      <c r="BD50" s="3" t="s">
        <v>173</v>
      </c>
      <c r="BE50" s="3" t="s">
        <v>164</v>
      </c>
      <c r="BF50" s="3">
        <v>4</v>
      </c>
      <c r="BG50" s="3" t="s">
        <v>175</v>
      </c>
      <c r="BH50" s="3" t="s">
        <v>205</v>
      </c>
      <c r="BI50" s="3" t="s">
        <v>150</v>
      </c>
      <c r="BJ50" s="3" t="s">
        <v>316</v>
      </c>
      <c r="BK50" s="3" t="s">
        <v>173</v>
      </c>
      <c r="BL50" s="3" t="s">
        <v>205</v>
      </c>
      <c r="BM50" s="3">
        <v>4</v>
      </c>
      <c r="BN50" s="3" t="s">
        <v>237</v>
      </c>
      <c r="BR50" s="3" t="s">
        <v>173</v>
      </c>
      <c r="BY50" s="3" t="s">
        <v>173</v>
      </c>
      <c r="CJ50" s="6">
        <v>3</v>
      </c>
      <c r="CK50" s="6">
        <f>IF(CJ50&lt;0.26,2,IF(CJ50&lt;0.51,4,IF(CJ50&lt;1.1,8,99)))</f>
        <v>99</v>
      </c>
      <c r="CL50" s="3">
        <f>IF(M50="Elemental",10,IF(CJ50&lt;2,2,CJ50*3))</f>
        <v>9</v>
      </c>
      <c r="CM50" s="3">
        <f>IF(W50&gt;0,8,0)</f>
        <v>0</v>
      </c>
      <c r="CN50" s="3">
        <f>IF(X50&gt;0,4,0)</f>
        <v>0</v>
      </c>
    </row>
    <row r="51" spans="1:92">
      <c r="A51" s="3" t="str">
        <f>IF(DruidLevel&lt;B51,"",CHAR(9)&amp;"&lt;monster&gt;"&amp;CHAR(13)&amp;CHAR(9)&amp;CHAR(9)&amp;"&lt;name&gt;"&amp;L51&amp;" (Wild Shape)&lt;/name&gt;"&amp;CHAR(13)&amp;CHAR(9)&amp;CHAR(9)&amp;"&lt;size&gt;"&amp;LEFT(P51,1)&amp;"&lt;/size&gt;"&amp;CHAR(13)&amp;CHAR(9)&amp;CHAR(9)&amp;"&lt;type&gt;"&amp;M51&amp;"&lt;/type&gt;"&amp;CHAR(13)&amp;CHAR(9)&amp;CHAR(9)&amp;"&lt;alignment&gt;"&amp;N51&amp;"&lt;/alignment&gt;"&amp;CHAR(13)&amp;CHAR(9)&amp;CHAR(9)&amp;"&lt;ac&gt;"&amp;Q51&amp;IF(ISBLANK(R51),""," ("&amp;R51&amp;")")&amp;"&lt;/ac&gt;"&amp;CHAR(13)&amp;CHAR(9)&amp;CHAR(9)&amp;"&lt;hp&gt;"&amp;S51&amp;"&lt;/hp&gt;"&amp;CHAR(13)&amp;CHAR(9)&amp;CHAR(9)&amp;"&lt;speed&gt;"&amp;E51&amp;"&lt;/speed&gt;"&amp;CHAR(13)&amp;CHAR(9)&amp;CHAR(9)&amp;"&lt;str&gt;"&amp;Y51&amp;"&lt;/str&gt;&lt;dex&gt;"&amp;Z51&amp;"&lt;/dex&gt;&lt;con&gt;"&amp;AA51&amp;"&lt;/con&gt;&lt;int&gt;"&amp;AB51&amp;"&lt;/int&gt;&lt;wis&gt;"&amp;AC51&amp;"&lt;/wis&gt;&lt;cha&gt;"&amp;AD51&amp;"&lt;/cha&gt;"&amp;CHAR(13)&amp;CHAR(9)&amp;CHAR(9)&amp;"&lt;save&gt;"&amp;AK51&amp;"&lt;/save&gt;"&amp;CHAR(13)&amp;CHAR(9)&amp;CHAR(9)&amp;"&lt;skill&gt;"&amp;AJ51&amp;"&lt;/skill&gt;"&amp;CHAR(13)&amp;CHAR(9)&amp;CHAR(9)&amp;"&lt;vulnerable&gt;"&amp;AO51&amp;"&lt;/vulnerable&gt;"&amp;CHAR(13)&amp;CHAR(9)&amp;CHAR(9)&amp;"&lt;resist&gt;"&amp;AP51&amp;"&lt;/resist&gt;"&amp;CHAR(13)&amp;CHAR(9)&amp;CHAR(9)&amp;"&lt;immune&gt;"&amp;AQ51&amp;"&lt;/immune&gt;"&amp;CHAR(13)&amp;CHAR(9)&amp;CHAR(9)&amp;"&lt;conditionImmune&gt;"&amp;AR51&amp;"&lt;/conditionImmune&gt;"&amp;CHAR(13)&amp;CHAR(9)&amp;CHAR(9)&amp;"&lt;senses&gt;"&amp;AM51&amp;"&lt;/senses&gt;"&amp;CHAR(13)&amp;CHAR(9)&amp;CHAR(9)&amp;"&lt;passive&gt;"&amp;AN51&amp;"&lt;/passive&gt;"&amp;CHAR(13)&amp;CHAR(9)&amp;CHAR(9)&amp;"&lt;languages&gt;"&amp;AS51&amp;"&lt;/languages&gt;"&amp;CHAR(13)&amp;CHAR(9)&amp;CHAR(9)&amp;"&lt;cr&gt;"&amp;O51&amp;"&lt;/cr&gt;"&amp;F51&amp;G51&amp;H51&amp;I51&amp;J51&amp;K51&amp;IF(C51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1" s="3">
        <f>IF(COTM=TRUE,MAX(CL51,CM51,CN51),MAX(CK51,CM51,CN51))</f>
        <v>4</v>
      </c>
      <c r="C51" s="11" t="str">
        <f>IF(COTM=FALSE,"",IF(DruidLevel&gt;5,"Y",""))</f>
        <v/>
      </c>
      <c r="D51" s="3" t="s">
        <v>173</v>
      </c>
      <c r="E51" s="3" t="str">
        <f>T51&amp;" ft."&amp;IF(U51+V51+W51+X51=0,"",", ")&amp;IF(ISBLANK(U51),"","burrow "&amp;U51&amp;" ft."&amp;IF(V51+W51+X51=0,"",", "))&amp;IF(ISBLANK(V51),"","climb "&amp;V51&amp;" ft."&amp;IF(W51+X51=0,"",", "))&amp;IF(ISBLANK(W51),"","fly "&amp;W51&amp;" ft."&amp;IF(X51=0,"",", "))&amp;IF(ISBLANK(X51),"","swim "&amp;X51&amp;" ft.")</f>
        <v>0 ft., swim 40 ft.</v>
      </c>
      <c r="F51" s="3" t="str">
        <f>IF(ISBLANK(AT51),"",CHAR(13)&amp;CHAR(9)&amp;CHAR(9)&amp;"&lt;"&amp;AU51&amp;"&gt;"&amp;CHAR(13)&amp;CHAR(9)&amp;CHAR(9)&amp;CHAR(9)&amp;"&lt;name&gt;"&amp;AT51&amp;"&lt;/name&gt;"&amp;CHAR(13)&amp;CHAR(9)&amp;CHAR(9)&amp;CHAR(9)&amp;"&lt;text&gt;"&amp;AV51&amp;"&lt;/text&gt;"&amp;IF(ISBLANK(AX51),"",CHAR(13)&amp;CHAR(9)&amp;CHAR(9)&amp;CHAR(9)&amp;"&lt;attack&gt;"&amp;AX51&amp;"|"&amp;AY51&amp;"|"&amp;AZ51&amp;"&lt;/attack&gt;")&amp;CHAR(13)&amp;CHAR(9)&amp;CHAR(9)&amp;"&lt;/"&amp;AU51&amp;"&gt;")</f>
        <v>_x000D_		&lt;trait&gt;_x000D_			&lt;name&gt;Charge&lt;/name&gt;_x000D_			&lt;text&gt;If the sea horse moves at least 20 feet straight toward a target and then hits it with a ram attack on the same turn, the target takes an extra 7 (2d6) bludgeoning damage. If the target is a creature, it must succeed on a DC 11 Strength saving throw or be knocked prone.&lt;/text&gt;_x000D_		&lt;/trait&gt;</v>
      </c>
      <c r="G51" s="3" t="str">
        <f>IF(ISBLANK(BA51),"",CHAR(13)&amp;CHAR(9)&amp;CHAR(9)&amp;"&lt;"&amp;BB51&amp;"&gt;"&amp;CHAR(13)&amp;CHAR(9)&amp;CHAR(9)&amp;CHAR(9)&amp;"&lt;name&gt;"&amp;BA51&amp;"&lt;/name&gt;"&amp;CHAR(13)&amp;CHAR(9)&amp;CHAR(9)&amp;CHAR(9)&amp;"&lt;text&gt;"&amp;BC51&amp;"&lt;/text&gt;"&amp;IF(ISBLANK(BE51),"",CHAR(13)&amp;CHAR(9)&amp;CHAR(9)&amp;CHAR(9)&amp;"&lt;attack&gt;"&amp;BE51&amp;"|"&amp;BF51&amp;"|"&amp;BG51&amp;"&lt;/attack&gt;")&amp;CHAR(13)&amp;CHAR(9)&amp;CHAR(9)&amp;"&lt;/"&amp;BB51&amp;"&gt;")</f>
        <v>_x000D_		&lt;trait&gt;_x000D_			&lt;name&gt;Water Breathing&lt;/name&gt;_x000D_			&lt;text&gt;The seahorse can breathe only underwater.&lt;/text&gt;_x000D_		&lt;/trait&gt;</v>
      </c>
      <c r="H51" s="3" t="str">
        <f>IF(ISBLANK(BH51),"",CHAR(13)&amp;CHAR(9)&amp;CHAR(9)&amp;"&lt;"&amp;BI51&amp;"&gt;"&amp;CHAR(13)&amp;CHAR(9)&amp;CHAR(9)&amp;CHAR(9)&amp;"&lt;name&gt;"&amp;BH51&amp;"&lt;/name&gt;"&amp;CHAR(13)&amp;CHAR(9)&amp;CHAR(9)&amp;CHAR(9)&amp;"&lt;text&gt;"&amp;BJ51&amp;"&lt;/text&gt;"&amp;IF(ISBLANK(BL51),"",CHAR(13)&amp;CHAR(9)&amp;CHAR(9)&amp;CHAR(9)&amp;"&lt;attack&gt;"&amp;BL51&amp;"|"&amp;BM51&amp;"|"&amp;BN51&amp;"&lt;/attack&gt;")&amp;CHAR(13)&amp;CHAR(9)&amp;CHAR(9)&amp;"&lt;/"&amp;BI51&amp;"&gt;")</f>
        <v>_x000D_		&lt;action&gt;_x000D_			&lt;name&gt;Ram&lt;/name&gt;_x000D_			&lt;text&gt;Melee Weapon Attack: +3 to hit, reach 5 ft., one target. Hit: 4 (1d6+1) bludgeoning damage.&lt;/text&gt;_x000D_			&lt;attack&gt;Ram|3|1d6+1&lt;/attack&gt;_x000D_		&lt;/action&gt;</v>
      </c>
      <c r="I51" s="3" t="str">
        <f>IF(ISBLANK(BO51),"",CHAR(13)&amp;CHAR(9)&amp;CHAR(9)&amp;"&lt;"&amp;BP51&amp;"&gt;"&amp;CHAR(13)&amp;CHAR(9)&amp;CHAR(9)&amp;CHAR(9)&amp;"&lt;name&gt;"&amp;BO51&amp;"&lt;/name&gt;"&amp;CHAR(13)&amp;CHAR(9)&amp;CHAR(9)&amp;CHAR(9)&amp;"&lt;text&gt;"&amp;BQ51&amp;"&lt;/text&gt;"&amp;IF(ISBLANK(BS51),"",CHAR(13)&amp;CHAR(9)&amp;CHAR(9)&amp;CHAR(9)&amp;"&lt;attack&gt;"&amp;BS51&amp;"|"&amp;BT51&amp;"|"&amp;BU51&amp;"&lt;/attack&gt;")&amp;CHAR(13)&amp;CHAR(9)&amp;CHAR(9)&amp;"&lt;/"&amp;BP51&amp;"&gt;")</f>
        <v/>
      </c>
      <c r="J51" s="3" t="str">
        <f>IF(ISBLANK(BV51),"",CHAR(13)&amp;CHAR(9)&amp;CHAR(9)&amp;"&lt;"&amp;BW51&amp;"&gt;"&amp;CHAR(13)&amp;CHAR(9)&amp;CHAR(9)&amp;CHAR(9)&amp;"&lt;name&gt;"&amp;BV51&amp;"&lt;/name&gt;"&amp;CHAR(13)&amp;CHAR(9)&amp;CHAR(9)&amp;CHAR(9)&amp;"&lt;text&gt;"&amp;BX51&amp;"&lt;/text&gt;"&amp;IF(ISBLANK(BZ51),"",CHAR(13)&amp;CHAR(9)&amp;CHAR(9)&amp;CHAR(9)&amp;"&lt;attack&gt;"&amp;BZ51&amp;"|"&amp;CA51&amp;"|"&amp;CB51&amp;"&lt;/attack&gt;")&amp;CHAR(13)&amp;CHAR(9)&amp;CHAR(9)&amp;"&lt;/"&amp;BW51&amp;"&gt;")</f>
        <v/>
      </c>
      <c r="K51" s="3" t="str">
        <f>IF(ISBLANK(CC51),"",CHAR(13)&amp;CHAR(9)&amp;CHAR(9)&amp;"&lt;"&amp;CD51&amp;"&gt;"&amp;CHAR(13)&amp;CHAR(9)&amp;CHAR(9)&amp;CHAR(9)&amp;"&lt;name&gt;"&amp;CC51&amp;"&lt;/name&gt;"&amp;CHAR(13)&amp;CHAR(9)&amp;CHAR(9)&amp;CHAR(9)&amp;"&lt;text&gt;"&amp;CE51&amp;"&lt;/text&gt;"&amp;IF(ISBLANK(CG51),"",CHAR(13)&amp;CHAR(9)&amp;CHAR(9)&amp;CHAR(9)&amp;"&lt;attack&gt;"&amp;CG51&amp;"|"&amp;CH51&amp;"|"&amp;CI51&amp;"&lt;/attack&gt;")&amp;CHAR(13)&amp;CHAR(9)&amp;CHAR(9)&amp;"&lt;/"&amp;CD51&amp;"&gt;")</f>
        <v/>
      </c>
      <c r="L51" s="1" t="s">
        <v>72</v>
      </c>
      <c r="M51" s="1" t="s">
        <v>275</v>
      </c>
      <c r="N51" s="1">
        <f>DruidAlignment</f>
        <v>0</v>
      </c>
      <c r="O51" s="2" t="s">
        <v>206</v>
      </c>
      <c r="P51" s="1" t="s">
        <v>2</v>
      </c>
      <c r="Q51" s="1">
        <v>13</v>
      </c>
      <c r="R51" s="1" t="s">
        <v>405</v>
      </c>
      <c r="S51" s="1">
        <v>16</v>
      </c>
      <c r="T51" s="1">
        <v>0</v>
      </c>
      <c r="X51" s="1">
        <v>40</v>
      </c>
      <c r="Y51" s="1">
        <v>12</v>
      </c>
      <c r="Z51" s="1">
        <v>15</v>
      </c>
      <c r="AA51" s="1">
        <v>11</v>
      </c>
      <c r="AB51" s="10">
        <f>DruidInt</f>
        <v>0</v>
      </c>
      <c r="AC51" s="10">
        <f>DruidWis</f>
        <v>0</v>
      </c>
      <c r="AD51" s="10">
        <f>DruidCha</f>
        <v>0</v>
      </c>
      <c r="AE51" s="12"/>
      <c r="AF51" s="12">
        <v>3</v>
      </c>
      <c r="AG51" s="12"/>
      <c r="AH51" s="12" t="s">
        <v>173</v>
      </c>
      <c r="AI51" s="12" t="str">
        <f>IF(ISBLANK(DruidAcrobatics),"",", Acrobatics +"&amp;DruidAcrobatics)&amp;IF(ISBLANK(DruidAnimalHandling),"",", Animal Handling +"&amp;DruidAnimalHandling)&amp;IF(ISBLANK(DruidArcana),"",", Arcana +"&amp;DruidArcana)&amp;IF(DruidAthletics+AE51=0,"",", Athletics +"&amp;MAX(DruidAthletics,AE51))&amp;IF(ISBLANK(DruidDeception),"",",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+"&amp;DruidNature)&amp;IF(DruidPerception+AF51=0,"",", Perception +"&amp;MAX(DruidPerception,AF51))&amp;IF(ISBLANK(DruidPerformance),"",", Performance +"&amp;DruidPerformance)&amp;IF(ISBLANK(DruidPersuasion),"",", Persuasion +"&amp;DruidPersuasion)&amp;IF(ISBLANK(DruidReligion),"",", Religion +"&amp;DruidReligion)&amp;IF(ISBLANK(DruidSleightofHand),"",", Sleight of Hand +"&amp;DruidSleightofHand)&amp;IF(DruidStealth+AG51=0,"",", Stealth +"&amp;MAX(DruidStealth,AG51))&amp;IF(ISBLANK(DruidSurvival),"",", Survival +"&amp;DruidSurvival)</f>
        <v>, Perception +3</v>
      </c>
      <c r="AJ51" s="1" t="str">
        <f>RIGHT(AI51,LEN(AI51)-2)</f>
        <v>Perception +3</v>
      </c>
      <c r="AK5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1" s="1" t="s">
        <v>173</v>
      </c>
      <c r="AN51" s="3">
        <f>IF(DruidPerception+AF51=0,10+(ROUNDDOWN((AC51-10)/2,0)),10+MAX(DruidPerception,AF51))</f>
        <v>13</v>
      </c>
      <c r="AT51" s="3" t="s">
        <v>38</v>
      </c>
      <c r="AU51" s="3" t="s">
        <v>148</v>
      </c>
      <c r="AV51" s="3" t="s">
        <v>318</v>
      </c>
      <c r="AW51" s="3" t="s">
        <v>173</v>
      </c>
      <c r="AZ51" s="3"/>
      <c r="BA51" s="3" t="s">
        <v>64</v>
      </c>
      <c r="BB51" s="3" t="s">
        <v>148</v>
      </c>
      <c r="BC51" s="3" t="s">
        <v>319</v>
      </c>
      <c r="BD51" s="3" t="s">
        <v>173</v>
      </c>
      <c r="BG51" s="3"/>
      <c r="BH51" s="3" t="s">
        <v>252</v>
      </c>
      <c r="BI51" s="3" t="s">
        <v>150</v>
      </c>
      <c r="BJ51" s="3" t="s">
        <v>458</v>
      </c>
      <c r="BK51" s="3" t="s">
        <v>173</v>
      </c>
      <c r="BL51" s="3" t="s">
        <v>252</v>
      </c>
      <c r="BM51" s="3">
        <v>3</v>
      </c>
      <c r="BN51" s="3" t="s">
        <v>227</v>
      </c>
      <c r="BR51" s="3" t="s">
        <v>173</v>
      </c>
      <c r="BY51" s="3" t="s">
        <v>173</v>
      </c>
      <c r="CJ51" s="6">
        <v>0.5</v>
      </c>
      <c r="CK51" s="6">
        <f>IF(CJ51&lt;0.26,2,IF(CJ51&lt;0.51,4,IF(CJ51&lt;1.1,8,99)))</f>
        <v>4</v>
      </c>
      <c r="CL51" s="3">
        <f>IF(M51="Elemental",10,IF(CJ51&lt;2,2,CJ51*3))</f>
        <v>2</v>
      </c>
      <c r="CM51" s="3">
        <f>IF(W51&gt;0,8,0)</f>
        <v>0</v>
      </c>
      <c r="CN51" s="3">
        <f>IF(X51&gt;0,4,0)</f>
        <v>4</v>
      </c>
    </row>
    <row r="52" spans="1:92">
      <c r="A52" s="3" t="str">
        <f>IF(DruidLevel&lt;B52,"",CHAR(9)&amp;"&lt;monster&gt;"&amp;CHAR(13)&amp;CHAR(9)&amp;CHAR(9)&amp;"&lt;name&gt;"&amp;L52&amp;" (Wild Shape)&lt;/name&gt;"&amp;CHAR(13)&amp;CHAR(9)&amp;CHAR(9)&amp;"&lt;size&gt;"&amp;LEFT(P52,1)&amp;"&lt;/size&gt;"&amp;CHAR(13)&amp;CHAR(9)&amp;CHAR(9)&amp;"&lt;type&gt;"&amp;M52&amp;"&lt;/type&gt;"&amp;CHAR(13)&amp;CHAR(9)&amp;CHAR(9)&amp;"&lt;alignment&gt;"&amp;N52&amp;"&lt;/alignment&gt;"&amp;CHAR(13)&amp;CHAR(9)&amp;CHAR(9)&amp;"&lt;ac&gt;"&amp;Q52&amp;IF(ISBLANK(R52),""," ("&amp;R52&amp;")")&amp;"&lt;/ac&gt;"&amp;CHAR(13)&amp;CHAR(9)&amp;CHAR(9)&amp;"&lt;hp&gt;"&amp;S52&amp;"&lt;/hp&gt;"&amp;CHAR(13)&amp;CHAR(9)&amp;CHAR(9)&amp;"&lt;speed&gt;"&amp;E52&amp;"&lt;/speed&gt;"&amp;CHAR(13)&amp;CHAR(9)&amp;CHAR(9)&amp;"&lt;str&gt;"&amp;Y52&amp;"&lt;/str&gt;&lt;dex&gt;"&amp;Z52&amp;"&lt;/dex&gt;&lt;con&gt;"&amp;AA52&amp;"&lt;/con&gt;&lt;int&gt;"&amp;AB52&amp;"&lt;/int&gt;&lt;wis&gt;"&amp;AC52&amp;"&lt;/wis&gt;&lt;cha&gt;"&amp;AD52&amp;"&lt;/cha&gt;"&amp;CHAR(13)&amp;CHAR(9)&amp;CHAR(9)&amp;"&lt;save&gt;"&amp;AK52&amp;"&lt;/save&gt;"&amp;CHAR(13)&amp;CHAR(9)&amp;CHAR(9)&amp;"&lt;skill&gt;"&amp;AJ52&amp;"&lt;/skill&gt;"&amp;CHAR(13)&amp;CHAR(9)&amp;CHAR(9)&amp;"&lt;vulnerable&gt;"&amp;AO52&amp;"&lt;/vulnerable&gt;"&amp;CHAR(13)&amp;CHAR(9)&amp;CHAR(9)&amp;"&lt;resist&gt;"&amp;AP52&amp;"&lt;/resist&gt;"&amp;CHAR(13)&amp;CHAR(9)&amp;CHAR(9)&amp;"&lt;immune&gt;"&amp;AQ52&amp;"&lt;/immune&gt;"&amp;CHAR(13)&amp;CHAR(9)&amp;CHAR(9)&amp;"&lt;conditionImmune&gt;"&amp;AR52&amp;"&lt;/conditionImmune&gt;"&amp;CHAR(13)&amp;CHAR(9)&amp;CHAR(9)&amp;"&lt;senses&gt;"&amp;AM52&amp;"&lt;/senses&gt;"&amp;CHAR(13)&amp;CHAR(9)&amp;CHAR(9)&amp;"&lt;passive&gt;"&amp;AN52&amp;"&lt;/passive&gt;"&amp;CHAR(13)&amp;CHAR(9)&amp;CHAR(9)&amp;"&lt;languages&gt;"&amp;AS52&amp;"&lt;/languages&gt;"&amp;CHAR(13)&amp;CHAR(9)&amp;CHAR(9)&amp;"&lt;cr&gt;"&amp;O52&amp;"&lt;/cr&gt;"&amp;F52&amp;G52&amp;H52&amp;I52&amp;J52&amp;K52&amp;IF(C52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2" s="3">
        <f>IF(COTM=TRUE,MAX(CL52,CM52,CN52),MAX(CK52,CM52,CN52))</f>
        <v>99</v>
      </c>
      <c r="C52" s="11" t="str">
        <f>IF(COTM=FALSE,"",IF(DruidLevel&gt;5,"Y",""))</f>
        <v/>
      </c>
      <c r="D52" s="3" t="s">
        <v>173</v>
      </c>
      <c r="E52" s="3" t="str">
        <f>T52&amp;" ft."&amp;IF(U52+V52+W52+X52=0,"",", ")&amp;IF(ISBLANK(U52),"","burrow "&amp;U52&amp;" ft."&amp;IF(V52+W52+X52=0,"",", "))&amp;IF(ISBLANK(V52),"","climb "&amp;V52&amp;" ft."&amp;IF(W52+X52=0,"",", "))&amp;IF(ISBLANK(W52),"","fly "&amp;W52&amp;" ft."&amp;IF(X52=0,"",", "))&amp;IF(ISBLANK(X52),"","swim "&amp;X52&amp;" ft.")</f>
        <v>0 ft., swim 50 ft.</v>
      </c>
      <c r="F52" s="3" t="str">
        <f>IF(ISBLANK(AT52),"",CHAR(13)&amp;CHAR(9)&amp;CHAR(9)&amp;"&lt;"&amp;AU52&amp;"&gt;"&amp;CHAR(13)&amp;CHAR(9)&amp;CHAR(9)&amp;CHAR(9)&amp;"&lt;name&gt;"&amp;AT52&amp;"&lt;/name&gt;"&amp;CHAR(13)&amp;CHAR(9)&amp;CHAR(9)&amp;CHAR(9)&amp;"&lt;text&gt;"&amp;AV52&amp;"&lt;/text&gt;"&amp;IF(ISBLANK(AX52),"",CHAR(13)&amp;CHAR(9)&amp;CHAR(9)&amp;CHAR(9)&amp;"&lt;attack&gt;"&amp;AX52&amp;"|"&amp;AY52&amp;"|"&amp;AZ52&amp;"&lt;/attack&gt;")&amp;CHAR(13)&amp;CHAR(9)&amp;CHAR(9)&amp;"&lt;/"&amp;AU52&amp;"&gt;")</f>
        <v>_x000D_		&lt;trait&gt;_x000D_			&lt;name&gt;Blood Frenzy&lt;/name&gt;_x000D_			&lt;text&gt;The shark has advantage on melee attack rolls against any creature that doesn't have all its hit points.&lt;/text&gt;_x000D_		&lt;/trait&gt;</v>
      </c>
      <c r="G52" s="3" t="str">
        <f>IF(ISBLANK(BA52),"",CHAR(13)&amp;CHAR(9)&amp;CHAR(9)&amp;"&lt;"&amp;BB52&amp;"&gt;"&amp;CHAR(13)&amp;CHAR(9)&amp;CHAR(9)&amp;CHAR(9)&amp;"&lt;name&gt;"&amp;BA52&amp;"&lt;/name&gt;"&amp;CHAR(13)&amp;CHAR(9)&amp;CHAR(9)&amp;CHAR(9)&amp;"&lt;text&gt;"&amp;BC52&amp;"&lt;/text&gt;"&amp;IF(ISBLANK(BE52),"",CHAR(13)&amp;CHAR(9)&amp;CHAR(9)&amp;CHAR(9)&amp;"&lt;attack&gt;"&amp;BE52&amp;"|"&amp;BF52&amp;"|"&amp;BG52&amp;"&lt;/attack&gt;")&amp;CHAR(13)&amp;CHAR(9)&amp;CHAR(9)&amp;"&lt;/"&amp;BB52&amp;"&gt;")</f>
        <v>_x000D_		&lt;trait&gt;_x000D_			&lt;name&gt;Water Breathing&lt;/name&gt;_x000D_			&lt;text&gt;The shark can breathe only underwater.&lt;/text&gt;_x000D_		&lt;/trait&gt;</v>
      </c>
      <c r="H52" s="3" t="str">
        <f>IF(ISBLANK(BH52),"",CHAR(13)&amp;CHAR(9)&amp;CHAR(9)&amp;"&lt;"&amp;BI52&amp;"&gt;"&amp;CHAR(13)&amp;CHAR(9)&amp;CHAR(9)&amp;CHAR(9)&amp;"&lt;name&gt;"&amp;BH52&amp;"&lt;/name&gt;"&amp;CHAR(13)&amp;CHAR(9)&amp;CHAR(9)&amp;CHAR(9)&amp;"&lt;text&gt;"&amp;BJ52&amp;"&lt;/text&gt;"&amp;IF(ISBLANK(BL52),"",CHAR(13)&amp;CHAR(9)&amp;CHAR(9)&amp;CHAR(9)&amp;"&lt;attack&gt;"&amp;BL52&amp;"|"&amp;BM52&amp;"|"&amp;BN52&amp;"&lt;/attack&gt;")&amp;CHAR(13)&amp;CHAR(9)&amp;CHAR(9)&amp;"&lt;/"&amp;BI52&amp;"&gt;")</f>
        <v>_x000D_		&lt;action&gt;_x000D_			&lt;name&gt;Bite&lt;/name&gt;_x000D_			&lt;text&gt;Weapon Attack: +9 to hit, reach 5 ft., one target. Hit: 22 (3d10 + 6) piercing damage.&lt;/text&gt;_x000D_			&lt;attack&gt;Bite|9|3d10+6&lt;/attack&gt;_x000D_		&lt;/action&gt;</v>
      </c>
      <c r="I52" s="3" t="str">
        <f>IF(ISBLANK(BO52),"",CHAR(13)&amp;CHAR(9)&amp;CHAR(9)&amp;"&lt;"&amp;BP52&amp;"&gt;"&amp;CHAR(13)&amp;CHAR(9)&amp;CHAR(9)&amp;CHAR(9)&amp;"&lt;name&gt;"&amp;BO52&amp;"&lt;/name&gt;"&amp;CHAR(13)&amp;CHAR(9)&amp;CHAR(9)&amp;CHAR(9)&amp;"&lt;text&gt;"&amp;BQ52&amp;"&lt;/text&gt;"&amp;IF(ISBLANK(BS52),"",CHAR(13)&amp;CHAR(9)&amp;CHAR(9)&amp;CHAR(9)&amp;"&lt;attack&gt;"&amp;BS52&amp;"|"&amp;BT52&amp;"|"&amp;BU52&amp;"&lt;/attack&gt;")&amp;CHAR(13)&amp;CHAR(9)&amp;CHAR(9)&amp;"&lt;/"&amp;BP52&amp;"&gt;")</f>
        <v/>
      </c>
      <c r="J52" s="3" t="str">
        <f>IF(ISBLANK(BV52),"",CHAR(13)&amp;CHAR(9)&amp;CHAR(9)&amp;"&lt;"&amp;BW52&amp;"&gt;"&amp;CHAR(13)&amp;CHAR(9)&amp;CHAR(9)&amp;CHAR(9)&amp;"&lt;name&gt;"&amp;BV52&amp;"&lt;/name&gt;"&amp;CHAR(13)&amp;CHAR(9)&amp;CHAR(9)&amp;CHAR(9)&amp;"&lt;text&gt;"&amp;BX52&amp;"&lt;/text&gt;"&amp;IF(ISBLANK(BZ52),"",CHAR(13)&amp;CHAR(9)&amp;CHAR(9)&amp;CHAR(9)&amp;"&lt;attack&gt;"&amp;BZ52&amp;"|"&amp;CA52&amp;"|"&amp;CB52&amp;"&lt;/attack&gt;")&amp;CHAR(13)&amp;CHAR(9)&amp;CHAR(9)&amp;"&lt;/"&amp;BW52&amp;"&gt;")</f>
        <v/>
      </c>
      <c r="K52" s="3" t="str">
        <f>IF(ISBLANK(CC52),"",CHAR(13)&amp;CHAR(9)&amp;CHAR(9)&amp;"&lt;"&amp;CD52&amp;"&gt;"&amp;CHAR(13)&amp;CHAR(9)&amp;CHAR(9)&amp;CHAR(9)&amp;"&lt;name&gt;"&amp;CC52&amp;"&lt;/name&gt;"&amp;CHAR(13)&amp;CHAR(9)&amp;CHAR(9)&amp;CHAR(9)&amp;"&lt;text&gt;"&amp;CE52&amp;"&lt;/text&gt;"&amp;IF(ISBLANK(CG52),"",CHAR(13)&amp;CHAR(9)&amp;CHAR(9)&amp;CHAR(9)&amp;"&lt;attack&gt;"&amp;CG52&amp;"|"&amp;CH52&amp;"|"&amp;CI52&amp;"&lt;/attack&gt;")&amp;CHAR(13)&amp;CHAR(9)&amp;CHAR(9)&amp;"&lt;/"&amp;CD52&amp;"&gt;")</f>
        <v/>
      </c>
      <c r="L52" s="1" t="s">
        <v>105</v>
      </c>
      <c r="M52" s="1" t="s">
        <v>275</v>
      </c>
      <c r="N52" s="1">
        <f>DruidAlignment</f>
        <v>0</v>
      </c>
      <c r="O52" s="2">
        <v>5</v>
      </c>
      <c r="P52" s="1" t="s">
        <v>80</v>
      </c>
      <c r="Q52" s="1">
        <v>13</v>
      </c>
      <c r="R52" s="1" t="s">
        <v>405</v>
      </c>
      <c r="S52" s="1">
        <v>126</v>
      </c>
      <c r="T52" s="1">
        <v>0</v>
      </c>
      <c r="X52" s="1">
        <v>50</v>
      </c>
      <c r="Y52" s="1">
        <v>23</v>
      </c>
      <c r="Z52" s="1">
        <v>11</v>
      </c>
      <c r="AA52" s="1">
        <v>21</v>
      </c>
      <c r="AB52" s="10">
        <f>DruidInt</f>
        <v>0</v>
      </c>
      <c r="AC52" s="10">
        <f>DruidWis</f>
        <v>0</v>
      </c>
      <c r="AD52" s="10">
        <f>DruidCha</f>
        <v>0</v>
      </c>
      <c r="AE52" s="12"/>
      <c r="AF52" s="12">
        <v>3</v>
      </c>
      <c r="AG52" s="12"/>
      <c r="AH52" s="12" t="s">
        <v>173</v>
      </c>
      <c r="AI52" s="12" t="str">
        <f>IF(ISBLANK(DruidAcrobatics),"",", Acrobatics +"&amp;DruidAcrobatics)&amp;IF(ISBLANK(DruidAnimalHandling),"",", Animal Handling +"&amp;DruidAnimalHandling)&amp;IF(ISBLANK(DruidArcana),"",", Arcana +"&amp;DruidArcana)&amp;IF(DruidAthletics+AE52=0,"",", Athletics +"&amp;MAX(DruidAthletics,AE52))&amp;IF(ISBLANK(DruidDeception),"",",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+"&amp;DruidNature)&amp;IF(DruidPerception+AF52=0,"",", Perception +"&amp;MAX(DruidPerception,AF52))&amp;IF(ISBLANK(DruidPerformance),"",", Performance +"&amp;DruidPerformance)&amp;IF(ISBLANK(DruidPersuasion),"",", Persuasion +"&amp;DruidPersuasion)&amp;IF(ISBLANK(DruidReligion),"",", Religion +"&amp;DruidReligion)&amp;IF(ISBLANK(DruidSleightofHand),"",", Sleight of Hand +"&amp;DruidSleightofHand)&amp;IF(DruidStealth+AG52=0,"",", Stealth +"&amp;MAX(DruidStealth,AG52))&amp;IF(ISBLANK(DruidSurvival),"",", Survival +"&amp;DruidSurvival)</f>
        <v>, Perception +3</v>
      </c>
      <c r="AJ52" s="1" t="str">
        <f>RIGHT(AI52,LEN(AI52)-2)</f>
        <v>Perception +3</v>
      </c>
      <c r="AK5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2" s="1" t="s">
        <v>173</v>
      </c>
      <c r="AM52" s="1" t="s">
        <v>179</v>
      </c>
      <c r="AN52" s="3">
        <f>IF(DruidPerception+AF52=0,10+(ROUNDDOWN((AC52-10)/2,0)),10+MAX(DruidPerception,AF52))</f>
        <v>13</v>
      </c>
      <c r="AO52" s="1"/>
      <c r="AP52" s="1"/>
      <c r="AQ52" s="1"/>
      <c r="AR52" s="1"/>
      <c r="AS52" s="1"/>
      <c r="AT52" s="3" t="s">
        <v>320</v>
      </c>
      <c r="AU52" s="3" t="s">
        <v>148</v>
      </c>
      <c r="AV52" s="3" t="s">
        <v>500</v>
      </c>
      <c r="AW52" s="3" t="s">
        <v>173</v>
      </c>
      <c r="AZ52" s="9"/>
      <c r="BA52" s="3" t="s">
        <v>64</v>
      </c>
      <c r="BB52" s="3" t="s">
        <v>148</v>
      </c>
      <c r="BC52" s="3" t="s">
        <v>321</v>
      </c>
      <c r="BD52" s="3" t="s">
        <v>173</v>
      </c>
      <c r="BG52" s="9"/>
      <c r="BH52" s="3" t="s">
        <v>161</v>
      </c>
      <c r="BI52" s="3" t="s">
        <v>150</v>
      </c>
      <c r="BJ52" s="3" t="s">
        <v>322</v>
      </c>
      <c r="BK52" s="3" t="s">
        <v>173</v>
      </c>
      <c r="BL52" s="3" t="s">
        <v>161</v>
      </c>
      <c r="BM52" s="3">
        <v>9</v>
      </c>
      <c r="BN52" s="9" t="s">
        <v>281</v>
      </c>
      <c r="BR52" s="3" t="s">
        <v>173</v>
      </c>
      <c r="BY52" s="3" t="s">
        <v>173</v>
      </c>
      <c r="CJ52" s="6">
        <v>5</v>
      </c>
      <c r="CK52" s="6">
        <f>IF(CJ52&lt;0.26,2,IF(CJ52&lt;0.51,4,IF(CJ52&lt;1.1,8,99)))</f>
        <v>99</v>
      </c>
      <c r="CL52" s="3">
        <f>IF(M52="Elemental",10,IF(CJ52&lt;2,2,CJ52*3))</f>
        <v>15</v>
      </c>
      <c r="CM52" s="3">
        <f>IF(W52&gt;0,8,0)</f>
        <v>0</v>
      </c>
      <c r="CN52" s="3">
        <f>IF(X52&gt;0,4,0)</f>
        <v>4</v>
      </c>
    </row>
    <row r="53" spans="1:92">
      <c r="A53" s="3" t="str">
        <f>IF(DruidLevel&lt;B53,"",CHAR(9)&amp;"&lt;monster&gt;"&amp;CHAR(13)&amp;CHAR(9)&amp;CHAR(9)&amp;"&lt;name&gt;"&amp;L53&amp;" (Wild Shape)&lt;/name&gt;"&amp;CHAR(13)&amp;CHAR(9)&amp;CHAR(9)&amp;"&lt;size&gt;"&amp;LEFT(P53,1)&amp;"&lt;/size&gt;"&amp;CHAR(13)&amp;CHAR(9)&amp;CHAR(9)&amp;"&lt;type&gt;"&amp;M53&amp;"&lt;/type&gt;"&amp;CHAR(13)&amp;CHAR(9)&amp;CHAR(9)&amp;"&lt;alignment&gt;"&amp;N53&amp;"&lt;/alignment&gt;"&amp;CHAR(13)&amp;CHAR(9)&amp;CHAR(9)&amp;"&lt;ac&gt;"&amp;Q53&amp;IF(ISBLANK(R53),""," ("&amp;R53&amp;")")&amp;"&lt;/ac&gt;"&amp;CHAR(13)&amp;CHAR(9)&amp;CHAR(9)&amp;"&lt;hp&gt;"&amp;S53&amp;"&lt;/hp&gt;"&amp;CHAR(13)&amp;CHAR(9)&amp;CHAR(9)&amp;"&lt;speed&gt;"&amp;E53&amp;"&lt;/speed&gt;"&amp;CHAR(13)&amp;CHAR(9)&amp;CHAR(9)&amp;"&lt;str&gt;"&amp;Y53&amp;"&lt;/str&gt;&lt;dex&gt;"&amp;Z53&amp;"&lt;/dex&gt;&lt;con&gt;"&amp;AA53&amp;"&lt;/con&gt;&lt;int&gt;"&amp;AB53&amp;"&lt;/int&gt;&lt;wis&gt;"&amp;AC53&amp;"&lt;/wis&gt;&lt;cha&gt;"&amp;AD53&amp;"&lt;/cha&gt;"&amp;CHAR(13)&amp;CHAR(9)&amp;CHAR(9)&amp;"&lt;save&gt;"&amp;AK53&amp;"&lt;/save&gt;"&amp;CHAR(13)&amp;CHAR(9)&amp;CHAR(9)&amp;"&lt;skill&gt;"&amp;AJ53&amp;"&lt;/skill&gt;"&amp;CHAR(13)&amp;CHAR(9)&amp;CHAR(9)&amp;"&lt;vulnerable&gt;"&amp;AO53&amp;"&lt;/vulnerable&gt;"&amp;CHAR(13)&amp;CHAR(9)&amp;CHAR(9)&amp;"&lt;resist&gt;"&amp;AP53&amp;"&lt;/resist&gt;"&amp;CHAR(13)&amp;CHAR(9)&amp;CHAR(9)&amp;"&lt;immune&gt;"&amp;AQ53&amp;"&lt;/immune&gt;"&amp;CHAR(13)&amp;CHAR(9)&amp;CHAR(9)&amp;"&lt;conditionImmune&gt;"&amp;AR53&amp;"&lt;/conditionImmune&gt;"&amp;CHAR(13)&amp;CHAR(9)&amp;CHAR(9)&amp;"&lt;senses&gt;"&amp;AM53&amp;"&lt;/senses&gt;"&amp;CHAR(13)&amp;CHAR(9)&amp;CHAR(9)&amp;"&lt;passive&gt;"&amp;AN53&amp;"&lt;/passive&gt;"&amp;CHAR(13)&amp;CHAR(9)&amp;CHAR(9)&amp;"&lt;languages&gt;"&amp;AS53&amp;"&lt;/languages&gt;"&amp;CHAR(13)&amp;CHAR(9)&amp;CHAR(9)&amp;"&lt;cr&gt;"&amp;O53&amp;"&lt;/cr&gt;"&amp;F53&amp;G53&amp;H53&amp;I53&amp;J53&amp;K53&amp;IF(C53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3" s="3">
        <f>IF(COTM=TRUE,MAX(CL53,CM53,CN53),MAX(CK53,CM53,CN53))</f>
        <v>8</v>
      </c>
      <c r="C53" s="11" t="str">
        <f>IF(COTM=FALSE,"",IF(DruidLevel&gt;5,"Y",""))</f>
        <v/>
      </c>
      <c r="D53" s="3" t="s">
        <v>173</v>
      </c>
      <c r="E53" s="3" t="str">
        <f>T53&amp;" ft."&amp;IF(U53+V53+W53+X53=0,"",", ")&amp;IF(ISBLANK(U53),"","burrow "&amp;U53&amp;" ft."&amp;IF(V53+W53+X53=0,"",", "))&amp;IF(ISBLANK(V53),"","climb "&amp;V53&amp;" ft."&amp;IF(W53+X53=0,"",", "))&amp;IF(ISBLANK(W53),"","fly "&amp;W53&amp;" ft."&amp;IF(X53=0,"",", "))&amp;IF(ISBLANK(X53),"","swim "&amp;X53&amp;" ft.")</f>
        <v>30 ft., climb 30 ft.</v>
      </c>
      <c r="F53" s="3" t="str">
        <f>IF(ISBLANK(AT53),"",CHAR(13)&amp;CHAR(9)&amp;CHAR(9)&amp;"&lt;"&amp;AU53&amp;"&gt;"&amp;CHAR(13)&amp;CHAR(9)&amp;CHAR(9)&amp;CHAR(9)&amp;"&lt;name&gt;"&amp;AT53&amp;"&lt;/name&gt;"&amp;CHAR(13)&amp;CHAR(9)&amp;CHAR(9)&amp;CHAR(9)&amp;"&lt;text&gt;"&amp;AV53&amp;"&lt;/text&gt;"&amp;IF(ISBLANK(AX53),"",CHAR(13)&amp;CHAR(9)&amp;CHAR(9)&amp;CHAR(9)&amp;"&lt;attack&gt;"&amp;AX53&amp;"|"&amp;AY53&amp;"|"&amp;AZ53&amp;"&lt;/attack&gt;")&amp;CHAR(13)&amp;CHAR(9)&amp;CHAR(9)&amp;"&lt;/"&amp;AU53&amp;"&gt;")</f>
        <v>_x000D_		&lt;trait&gt;_x000D_			&lt;name&gt;Spider Climb&lt;/name&gt;_x000D_			&lt;text&gt;The spider can climb difficult surfaces, including upside down on ceilings, without needing to make an ability check.&lt;/text&gt;_x000D_		&lt;/trait&gt;</v>
      </c>
      <c r="G53" s="3" t="str">
        <f>IF(ISBLANK(BA53),"",CHAR(13)&amp;CHAR(9)&amp;CHAR(9)&amp;"&lt;"&amp;BB53&amp;"&gt;"&amp;CHAR(13)&amp;CHAR(9)&amp;CHAR(9)&amp;CHAR(9)&amp;"&lt;name&gt;"&amp;BA53&amp;"&lt;/name&gt;"&amp;CHAR(13)&amp;CHAR(9)&amp;CHAR(9)&amp;CHAR(9)&amp;"&lt;text&gt;"&amp;BC53&amp;"&lt;/text&gt;"&amp;IF(ISBLANK(BE53),"",CHAR(13)&amp;CHAR(9)&amp;CHAR(9)&amp;CHAR(9)&amp;"&lt;attack&gt;"&amp;BE53&amp;"|"&amp;BF53&amp;"|"&amp;BG53&amp;"&lt;/attack&gt;")&amp;CHAR(13)&amp;CHAR(9)&amp;CHAR(9)&amp;"&lt;/"&amp;BB53&amp;"&gt;")</f>
        <v>_x000D_		&lt;trait&gt;_x000D_			&lt;name&gt;Web Sense&lt;/name&gt;_x000D_			&lt;text&gt;While in contact with a web, the spider knows the exact location of any other creature in contact with the same web.&lt;/text&gt;_x000D_		&lt;/trait&gt;</v>
      </c>
      <c r="H53" s="3" t="str">
        <f>IF(ISBLANK(BH53),"",CHAR(13)&amp;CHAR(9)&amp;CHAR(9)&amp;"&lt;"&amp;BI53&amp;"&gt;"&amp;CHAR(13)&amp;CHAR(9)&amp;CHAR(9)&amp;CHAR(9)&amp;"&lt;name&gt;"&amp;BH53&amp;"&lt;/name&gt;"&amp;CHAR(13)&amp;CHAR(9)&amp;CHAR(9)&amp;CHAR(9)&amp;"&lt;text&gt;"&amp;BJ53&amp;"&lt;/text&gt;"&amp;IF(ISBLANK(BL53),"",CHAR(13)&amp;CHAR(9)&amp;CHAR(9)&amp;CHAR(9)&amp;"&lt;attack&gt;"&amp;BL53&amp;"|"&amp;BM53&amp;"|"&amp;BN53&amp;"&lt;/attack&gt;")&amp;CHAR(13)&amp;CHAR(9)&amp;CHAR(9)&amp;"&lt;/"&amp;BI53&amp;"&gt;")</f>
        <v>_x000D_		&lt;trait&gt;_x000D_			&lt;name&gt;Web Walker&lt;/name&gt;_x000D_			&lt;text&gt;The spider ignores movement restrictions caused by webbing.&lt;/text&gt;_x000D_		&lt;/trait&gt;</v>
      </c>
      <c r="I53" s="3" t="str">
        <f>IF(ISBLANK(BO53),"",CHAR(13)&amp;CHAR(9)&amp;CHAR(9)&amp;"&lt;"&amp;BP53&amp;"&gt;"&amp;CHAR(13)&amp;CHAR(9)&amp;CHAR(9)&amp;CHAR(9)&amp;"&lt;name&gt;"&amp;BO53&amp;"&lt;/name&gt;"&amp;CHAR(13)&amp;CHAR(9)&amp;CHAR(9)&amp;CHAR(9)&amp;"&lt;text&gt;"&amp;BQ53&amp;"&lt;/text&gt;"&amp;IF(ISBLANK(BS53),"",CHAR(13)&amp;CHAR(9)&amp;CHAR(9)&amp;CHAR(9)&amp;"&lt;attack&gt;"&amp;BS53&amp;"|"&amp;BT53&amp;"|"&amp;BU53&amp;"&lt;/attack&gt;")&amp;CHAR(13)&amp;CHAR(9)&amp;CHAR(9)&amp;"&lt;/"&amp;BP53&amp;"&gt;")</f>
        <v>_x000D_		&lt;action&gt;_x000D_			&lt;name&gt;Bite&lt;/name&gt;_x000D_			&lt;text&gt;Melee Weapon Attack: +5 to hit, reach 5 ft., one creature. Hit: 7 (1d8+3) piercing damage, and the target must make a DC 11 Constitution saving throw, taking 9 (2d8) poison damage on a failed save, or half as much damage on a successful one. If the poison damage reduces the target to 0 hit points, the target is stable but poisoned for 1 hour, even after regaining hit points, and is paralyzed while poisoned in this way.&lt;/text&gt;_x000D_			&lt;attack&gt;Bite|5|1d8+3&lt;/attack&gt;_x000D_		&lt;/action&gt;</v>
      </c>
      <c r="J53" s="3" t="str">
        <f>IF(ISBLANK(BV53),"",CHAR(13)&amp;CHAR(9)&amp;CHAR(9)&amp;"&lt;"&amp;BW53&amp;"&gt;"&amp;CHAR(13)&amp;CHAR(9)&amp;CHAR(9)&amp;CHAR(9)&amp;"&lt;name&gt;"&amp;BV53&amp;"&lt;/name&gt;"&amp;CHAR(13)&amp;CHAR(9)&amp;CHAR(9)&amp;CHAR(9)&amp;"&lt;text&gt;"&amp;BX53&amp;"&lt;/text&gt;"&amp;IF(ISBLANK(BZ53),"",CHAR(13)&amp;CHAR(9)&amp;CHAR(9)&amp;CHAR(9)&amp;"&lt;attack&gt;"&amp;BZ53&amp;"|"&amp;CA53&amp;"|"&amp;CB53&amp;"&lt;/attack&gt;")&amp;CHAR(13)&amp;CHAR(9)&amp;CHAR(9)&amp;"&lt;/"&amp;BW53&amp;"&gt;")</f>
        <v>_x000D_		&lt;action&gt;_x000D_			&lt;name&gt;Web (Recharge 5-6)&lt;/name&gt;_x000D_			&lt;text&gt;Ranged Weapon Attack: +5 to hit, range 30/60 ft., one creature. Hit: The target is restrained by webbing. As an action, the restrained target can make a DC 12 Strength check, bursting the webbing on a success. The webbing can also be attacked and destroyed (AC 10; hp 5; vulnerability to fire damage; immunity to bludgeoning, poison, and psychic damage).&lt;/text&gt;_x000D_			&lt;attack&gt;Web|5|0&lt;/attack&gt;_x000D_		&lt;/action&gt;</v>
      </c>
      <c r="K53" s="3" t="str">
        <f>IF(ISBLANK(CC53),"",CHAR(13)&amp;CHAR(9)&amp;CHAR(9)&amp;"&lt;"&amp;CD53&amp;"&gt;"&amp;CHAR(13)&amp;CHAR(9)&amp;CHAR(9)&amp;CHAR(9)&amp;"&lt;name&gt;"&amp;CC53&amp;"&lt;/name&gt;"&amp;CHAR(13)&amp;CHAR(9)&amp;CHAR(9)&amp;CHAR(9)&amp;"&lt;text&gt;"&amp;CE53&amp;"&lt;/text&gt;"&amp;IF(ISBLANK(CG53),"",CHAR(13)&amp;CHAR(9)&amp;CHAR(9)&amp;CHAR(9)&amp;"&lt;attack&gt;"&amp;CG53&amp;"|"&amp;CH53&amp;"|"&amp;CI53&amp;"&lt;/attack&gt;")&amp;CHAR(13)&amp;CHAR(9)&amp;CHAR(9)&amp;"&lt;/"&amp;CD53&amp;"&gt;")</f>
        <v/>
      </c>
      <c r="L53" s="1" t="s">
        <v>54</v>
      </c>
      <c r="M53" s="1" t="s">
        <v>275</v>
      </c>
      <c r="N53" s="1">
        <f>DruidAlignment</f>
        <v>0</v>
      </c>
      <c r="O53" s="2">
        <v>1</v>
      </c>
      <c r="P53" s="1" t="s">
        <v>2</v>
      </c>
      <c r="Q53" s="1">
        <v>14</v>
      </c>
      <c r="R53" s="1" t="s">
        <v>405</v>
      </c>
      <c r="S53" s="1">
        <v>26</v>
      </c>
      <c r="T53" s="1">
        <v>30</v>
      </c>
      <c r="V53" s="1">
        <v>30</v>
      </c>
      <c r="Y53" s="1">
        <v>14</v>
      </c>
      <c r="Z53" s="1">
        <v>16</v>
      </c>
      <c r="AA53" s="1">
        <v>12</v>
      </c>
      <c r="AB53" s="10">
        <f>DruidInt</f>
        <v>0</v>
      </c>
      <c r="AC53" s="10">
        <f>DruidWis</f>
        <v>0</v>
      </c>
      <c r="AD53" s="10">
        <f>DruidCha</f>
        <v>0</v>
      </c>
      <c r="AE53" s="12"/>
      <c r="AF53" s="12"/>
      <c r="AG53" s="12">
        <v>7</v>
      </c>
      <c r="AH53" s="12" t="s">
        <v>173</v>
      </c>
      <c r="AI53" s="12" t="str">
        <f>IF(ISBLANK(DruidAcrobatics),"",", Acrobatics +"&amp;DruidAcrobatics)&amp;IF(ISBLANK(DruidAnimalHandling),"",", Animal Handling +"&amp;DruidAnimalHandling)&amp;IF(ISBLANK(DruidArcana),"",", Arcana +"&amp;DruidArcana)&amp;IF(DruidAthletics+AE53=0,"",", Athletics +"&amp;MAX(DruidAthletics,AE53))&amp;IF(ISBLANK(DruidDeception),"",",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+"&amp;DruidNature)&amp;IF(DruidPerception+AF53=0,"",", Perception +"&amp;MAX(DruidPerception,AF53))&amp;IF(ISBLANK(DruidPerformance),"",", Performance +"&amp;DruidPerformance)&amp;IF(ISBLANK(DruidPersuasion),"",", Persuasion +"&amp;DruidPersuasion)&amp;IF(ISBLANK(DruidReligion),"",", Religion +"&amp;DruidReligion)&amp;IF(ISBLANK(DruidSleightofHand),"",", Sleight of Hand +"&amp;DruidSleightofHand)&amp;IF(DruidStealth+AG53=0,"",", Stealth +"&amp;MAX(DruidStealth,AG53))&amp;IF(ISBLANK(DruidSurvival),"",", Survival +"&amp;DruidSurvival)</f>
        <v>, Stealth +7</v>
      </c>
      <c r="AJ53" s="1" t="str">
        <f>RIGHT(AI53,LEN(AI53)-2)</f>
        <v>Stealth +7</v>
      </c>
      <c r="AK5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3" s="1" t="s">
        <v>173</v>
      </c>
      <c r="AM53" s="1" t="s">
        <v>183</v>
      </c>
      <c r="AN53" s="3">
        <f>IF(DruidPerception+AF53=0,10+(ROUNDDOWN((AC53-10)/2,0)),10+MAX(DruidPerception,AF53))</f>
        <v>5</v>
      </c>
      <c r="AO53" s="1"/>
      <c r="AP53" s="1"/>
      <c r="AQ53" s="1"/>
      <c r="AR53" s="1"/>
      <c r="AS53" s="1"/>
      <c r="AT53" s="3" t="s">
        <v>323</v>
      </c>
      <c r="AU53" s="3" t="s">
        <v>148</v>
      </c>
      <c r="AV53" s="3" t="s">
        <v>324</v>
      </c>
      <c r="AW53" s="3" t="s">
        <v>173</v>
      </c>
      <c r="AZ53" s="3"/>
      <c r="BA53" s="3" t="s">
        <v>325</v>
      </c>
      <c r="BB53" s="3" t="s">
        <v>148</v>
      </c>
      <c r="BC53" s="3" t="s">
        <v>326</v>
      </c>
      <c r="BD53" s="3" t="s">
        <v>173</v>
      </c>
      <c r="BG53" s="3"/>
      <c r="BH53" s="3" t="s">
        <v>327</v>
      </c>
      <c r="BI53" s="3" t="s">
        <v>148</v>
      </c>
      <c r="BJ53" s="3" t="s">
        <v>328</v>
      </c>
      <c r="BK53" s="3" t="s">
        <v>173</v>
      </c>
      <c r="BN53" s="3"/>
      <c r="BO53" s="3" t="s">
        <v>161</v>
      </c>
      <c r="BP53" s="3" t="s">
        <v>150</v>
      </c>
      <c r="BQ53" s="3" t="s">
        <v>459</v>
      </c>
      <c r="BR53" s="3" t="s">
        <v>173</v>
      </c>
      <c r="BS53" s="3" t="s">
        <v>161</v>
      </c>
      <c r="BT53" s="3">
        <v>5</v>
      </c>
      <c r="BU53" s="3" t="s">
        <v>329</v>
      </c>
      <c r="BV53" s="3" t="s">
        <v>330</v>
      </c>
      <c r="BW53" s="3" t="s">
        <v>150</v>
      </c>
      <c r="BX53" s="3" t="s">
        <v>331</v>
      </c>
      <c r="BY53" s="3" t="s">
        <v>173</v>
      </c>
      <c r="BZ53" s="3" t="s">
        <v>332</v>
      </c>
      <c r="CA53" s="3">
        <v>5</v>
      </c>
      <c r="CB53" s="3">
        <v>0</v>
      </c>
      <c r="CJ53" s="6">
        <v>1</v>
      </c>
      <c r="CK53" s="6">
        <f>IF(CJ53&lt;0.26,2,IF(CJ53&lt;0.51,4,IF(CJ53&lt;1.1,8,99)))</f>
        <v>8</v>
      </c>
      <c r="CL53" s="3">
        <f>IF(M53="Elemental",10,IF(CJ53&lt;2,2,CJ53*3))</f>
        <v>2</v>
      </c>
      <c r="CM53" s="3">
        <f>IF(W53&gt;0,8,0)</f>
        <v>0</v>
      </c>
      <c r="CN53" s="3">
        <f>IF(X53&gt;0,4,0)</f>
        <v>0</v>
      </c>
    </row>
    <row r="54" spans="1:92">
      <c r="A54" s="3" t="str">
        <f>IF(DruidLevel&lt;B54,"",CHAR(9)&amp;"&lt;monster&gt;"&amp;CHAR(13)&amp;CHAR(9)&amp;CHAR(9)&amp;"&lt;name&gt;"&amp;L54&amp;" (Wild Shape)&lt;/name&gt;"&amp;CHAR(13)&amp;CHAR(9)&amp;CHAR(9)&amp;"&lt;size&gt;"&amp;LEFT(P54,1)&amp;"&lt;/size&gt;"&amp;CHAR(13)&amp;CHAR(9)&amp;CHAR(9)&amp;"&lt;type&gt;"&amp;M54&amp;"&lt;/type&gt;"&amp;CHAR(13)&amp;CHAR(9)&amp;CHAR(9)&amp;"&lt;alignment&gt;"&amp;N54&amp;"&lt;/alignment&gt;"&amp;CHAR(13)&amp;CHAR(9)&amp;CHAR(9)&amp;"&lt;ac&gt;"&amp;Q54&amp;IF(ISBLANK(R54),""," ("&amp;R54&amp;")")&amp;"&lt;/ac&gt;"&amp;CHAR(13)&amp;CHAR(9)&amp;CHAR(9)&amp;"&lt;hp&gt;"&amp;S54&amp;"&lt;/hp&gt;"&amp;CHAR(13)&amp;CHAR(9)&amp;CHAR(9)&amp;"&lt;speed&gt;"&amp;E54&amp;"&lt;/speed&gt;"&amp;CHAR(13)&amp;CHAR(9)&amp;CHAR(9)&amp;"&lt;str&gt;"&amp;Y54&amp;"&lt;/str&gt;&lt;dex&gt;"&amp;Z54&amp;"&lt;/dex&gt;&lt;con&gt;"&amp;AA54&amp;"&lt;/con&gt;&lt;int&gt;"&amp;AB54&amp;"&lt;/int&gt;&lt;wis&gt;"&amp;AC54&amp;"&lt;/wis&gt;&lt;cha&gt;"&amp;AD54&amp;"&lt;/cha&gt;"&amp;CHAR(13)&amp;CHAR(9)&amp;CHAR(9)&amp;"&lt;save&gt;"&amp;AK54&amp;"&lt;/save&gt;"&amp;CHAR(13)&amp;CHAR(9)&amp;CHAR(9)&amp;"&lt;skill&gt;"&amp;AJ54&amp;"&lt;/skill&gt;"&amp;CHAR(13)&amp;CHAR(9)&amp;CHAR(9)&amp;"&lt;vulnerable&gt;"&amp;AO54&amp;"&lt;/vulnerable&gt;"&amp;CHAR(13)&amp;CHAR(9)&amp;CHAR(9)&amp;"&lt;resist&gt;"&amp;AP54&amp;"&lt;/resist&gt;"&amp;CHAR(13)&amp;CHAR(9)&amp;CHAR(9)&amp;"&lt;immune&gt;"&amp;AQ54&amp;"&lt;/immune&gt;"&amp;CHAR(13)&amp;CHAR(9)&amp;CHAR(9)&amp;"&lt;conditionImmune&gt;"&amp;AR54&amp;"&lt;/conditionImmune&gt;"&amp;CHAR(13)&amp;CHAR(9)&amp;CHAR(9)&amp;"&lt;senses&gt;"&amp;AM54&amp;"&lt;/senses&gt;"&amp;CHAR(13)&amp;CHAR(9)&amp;CHAR(9)&amp;"&lt;passive&gt;"&amp;AN54&amp;"&lt;/passive&gt;"&amp;CHAR(13)&amp;CHAR(9)&amp;CHAR(9)&amp;"&lt;languages&gt;"&amp;AS54&amp;"&lt;/languages&gt;"&amp;CHAR(13)&amp;CHAR(9)&amp;CHAR(9)&amp;"&lt;cr&gt;"&amp;O54&amp;"&lt;/cr&gt;"&amp;F54&amp;G54&amp;H54&amp;I54&amp;J54&amp;K54&amp;IF(C54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4" s="3">
        <f>IF(COTM=TRUE,MAX(CL54,CM54,CN54),MAX(CK54,CM54,CN54))</f>
        <v>8</v>
      </c>
      <c r="C54" s="11" t="str">
        <f>IF(COTM=FALSE,"",IF(DruidLevel&gt;5,"Y",""))</f>
        <v/>
      </c>
      <c r="D54" s="3" t="s">
        <v>173</v>
      </c>
      <c r="E54" s="3" t="str">
        <f>T54&amp;" ft."&amp;IF(U54+V54+W54+X54=0,"",", ")&amp;IF(ISBLANK(U54),"","burrow "&amp;U54&amp;" ft."&amp;IF(V54+W54+X54=0,"",", "))&amp;IF(ISBLANK(V54),"","climb "&amp;V54&amp;" ft."&amp;IF(W54+X54=0,"",", "))&amp;IF(ISBLANK(W54),"","fly "&amp;W54&amp;" ft."&amp;IF(X54=0,"",", "))&amp;IF(ISBLANK(X54),"","swim "&amp;X54&amp;" ft.")</f>
        <v>20 ft., swim 40 ft.</v>
      </c>
      <c r="F54" s="3" t="str">
        <f>IF(ISBLANK(AT54),"",CHAR(13)&amp;CHAR(9)&amp;CHAR(9)&amp;"&lt;"&amp;AU54&amp;"&gt;"&amp;CHAR(13)&amp;CHAR(9)&amp;CHAR(9)&amp;CHAR(9)&amp;"&lt;name&gt;"&amp;AT54&amp;"&lt;/name&gt;"&amp;CHAR(13)&amp;CHAR(9)&amp;CHAR(9)&amp;CHAR(9)&amp;"&lt;text&gt;"&amp;AV54&amp;"&lt;/text&gt;"&amp;IF(ISBLANK(AX54),"",CHAR(13)&amp;CHAR(9)&amp;CHAR(9)&amp;CHAR(9)&amp;"&lt;attack&gt;"&amp;AX54&amp;"|"&amp;AY54&amp;"|"&amp;AZ54&amp;"&lt;/attack&gt;")&amp;CHAR(13)&amp;CHAR(9)&amp;CHAR(9)&amp;"&lt;/"&amp;AU54&amp;"&gt;")</f>
        <v>_x000D_		&lt;trait&gt;_x000D_			&lt;name&gt;Amphibious&lt;/name&gt;_x000D_			&lt;text&gt;The toad can breathe air and water&lt;/text&gt;_x000D_		&lt;/trait&gt;</v>
      </c>
      <c r="G54" s="3" t="str">
        <f>IF(ISBLANK(BA54),"",CHAR(13)&amp;CHAR(9)&amp;CHAR(9)&amp;"&lt;"&amp;BB54&amp;"&gt;"&amp;CHAR(13)&amp;CHAR(9)&amp;CHAR(9)&amp;CHAR(9)&amp;"&lt;name&gt;"&amp;BA54&amp;"&lt;/name&gt;"&amp;CHAR(13)&amp;CHAR(9)&amp;CHAR(9)&amp;CHAR(9)&amp;"&lt;text&gt;"&amp;BC54&amp;"&lt;/text&gt;"&amp;IF(ISBLANK(BE54),"",CHAR(13)&amp;CHAR(9)&amp;CHAR(9)&amp;CHAR(9)&amp;"&lt;attack&gt;"&amp;BE54&amp;"|"&amp;BF54&amp;"|"&amp;BG54&amp;"&lt;/attack&gt;")&amp;CHAR(13)&amp;CHAR(9)&amp;CHAR(9)&amp;"&lt;/"&amp;BB54&amp;"&gt;")</f>
        <v>_x000D_		&lt;trait&gt;_x000D_			&lt;name&gt;Standing Leap&lt;/name&gt;_x000D_			&lt;text&gt;The toad's long jump is up to 20 feet and its high jump is up to 10 feet, with or without a running start.&lt;/text&gt;_x000D_		&lt;/trait&gt;</v>
      </c>
      <c r="H54" s="3" t="str">
        <f>IF(ISBLANK(BH54),"",CHAR(13)&amp;CHAR(9)&amp;CHAR(9)&amp;"&lt;"&amp;BI54&amp;"&gt;"&amp;CHAR(13)&amp;CHAR(9)&amp;CHAR(9)&amp;CHAR(9)&amp;"&lt;name&gt;"&amp;BH54&amp;"&lt;/name&gt;"&amp;CHAR(13)&amp;CHAR(9)&amp;CHAR(9)&amp;CHAR(9)&amp;"&lt;text&gt;"&amp;BJ54&amp;"&lt;/text&gt;"&amp;IF(ISBLANK(BL54),"",CHAR(13)&amp;CHAR(9)&amp;CHAR(9)&amp;CHAR(9)&amp;"&lt;attack&gt;"&amp;BL54&amp;"|"&amp;BM54&amp;"|"&amp;BN54&amp;"&lt;/attack&gt;")&amp;CHAR(13)&amp;CHAR(9)&amp;CHAR(9)&amp;"&lt;/"&amp;BI54&amp;"&gt;")</f>
        <v>_x000D_		&lt;action&gt;_x000D_			&lt;name&gt;Bite&lt;/name&gt;_x000D_			&lt;text&gt;&lt;/text&gt;_x000D_			&lt;attack&gt;Bite|4|1d10+2&lt;/attack&gt;_x000D_		&lt;/action&gt;</v>
      </c>
      <c r="I54" s="3" t="str">
        <f>IF(ISBLANK(BO54),"",CHAR(13)&amp;CHAR(9)&amp;CHAR(9)&amp;"&lt;"&amp;BP54&amp;"&gt;"&amp;CHAR(13)&amp;CHAR(9)&amp;CHAR(9)&amp;CHAR(9)&amp;"&lt;name&gt;"&amp;BO54&amp;"&lt;/name&gt;"&amp;CHAR(13)&amp;CHAR(9)&amp;CHAR(9)&amp;CHAR(9)&amp;"&lt;text&gt;"&amp;BQ54&amp;"&lt;/text&gt;"&amp;IF(ISBLANK(BS54),"",CHAR(13)&amp;CHAR(9)&amp;CHAR(9)&amp;CHAR(9)&amp;"&lt;attack&gt;"&amp;BS54&amp;"|"&amp;BT54&amp;"|"&amp;BU54&amp;"&lt;/attack&gt;")&amp;CHAR(13)&amp;CHAR(9)&amp;CHAR(9)&amp;"&lt;/"&amp;BP54&amp;"&gt;")</f>
        <v>_x000D_		&lt;action&gt;_x000D_			&lt;name&gt;Swallow&lt;/name&gt;_x000D_			&lt;text&gt;The toad makes one bite attack against a Medium or smaller target it is grappling. If the attack hits, the target is swallowed, and the grapple ends. The swallowed target is blinded and restrained, it has total cover against attacks and other effects outside the toad, and it takes 10 (3d6) acid damage at the start of each of the toad's turns. The toad can have only one target swallowed at a time.&lt;/text&gt;&lt;text&gt; If the toad dies, a swallowed creature is no longer restrained by it and can escape from the corpse using 5 feet of movement, exiting prone.&lt;/text&gt;_x000D_		&lt;/action&gt;</v>
      </c>
      <c r="J54" s="3" t="str">
        <f>IF(ISBLANK(BV54),"",CHAR(13)&amp;CHAR(9)&amp;CHAR(9)&amp;"&lt;"&amp;BW54&amp;"&gt;"&amp;CHAR(13)&amp;CHAR(9)&amp;CHAR(9)&amp;CHAR(9)&amp;"&lt;name&gt;"&amp;BV54&amp;"&lt;/name&gt;"&amp;CHAR(13)&amp;CHAR(9)&amp;CHAR(9)&amp;CHAR(9)&amp;"&lt;text&gt;"&amp;BX54&amp;"&lt;/text&gt;"&amp;IF(ISBLANK(BZ54),"",CHAR(13)&amp;CHAR(9)&amp;CHAR(9)&amp;CHAR(9)&amp;"&lt;attack&gt;"&amp;BZ54&amp;"|"&amp;CA54&amp;"|"&amp;CB54&amp;"&lt;/attack&gt;")&amp;CHAR(13)&amp;CHAR(9)&amp;CHAR(9)&amp;"&lt;/"&amp;BW54&amp;"&gt;")</f>
        <v/>
      </c>
      <c r="K54" s="3" t="str">
        <f>IF(ISBLANK(CC54),"",CHAR(13)&amp;CHAR(9)&amp;CHAR(9)&amp;"&lt;"&amp;CD54&amp;"&gt;"&amp;CHAR(13)&amp;CHAR(9)&amp;CHAR(9)&amp;CHAR(9)&amp;"&lt;name&gt;"&amp;CC54&amp;"&lt;/name&gt;"&amp;CHAR(13)&amp;CHAR(9)&amp;CHAR(9)&amp;CHAR(9)&amp;"&lt;text&gt;"&amp;CE54&amp;"&lt;/text&gt;"&amp;IF(ISBLANK(CG54),"",CHAR(13)&amp;CHAR(9)&amp;CHAR(9)&amp;CHAR(9)&amp;"&lt;attack&gt;"&amp;CG54&amp;"|"&amp;CH54&amp;"|"&amp;CI54&amp;"&lt;/attack&gt;")&amp;CHAR(13)&amp;CHAR(9)&amp;CHAR(9)&amp;"&lt;/"&amp;CD54&amp;"&gt;")</f>
        <v/>
      </c>
      <c r="L54" s="1" t="s">
        <v>75</v>
      </c>
      <c r="M54" s="1" t="s">
        <v>275</v>
      </c>
      <c r="N54" s="1">
        <f>DruidAlignment</f>
        <v>0</v>
      </c>
      <c r="O54" s="2">
        <v>1</v>
      </c>
      <c r="P54" s="1" t="s">
        <v>2</v>
      </c>
      <c r="Q54" s="1">
        <v>11</v>
      </c>
      <c r="R54" s="1"/>
      <c r="S54" s="1">
        <v>39</v>
      </c>
      <c r="T54" s="1">
        <v>20</v>
      </c>
      <c r="X54" s="1">
        <v>40</v>
      </c>
      <c r="Y54" s="1">
        <v>15</v>
      </c>
      <c r="Z54" s="1">
        <v>13</v>
      </c>
      <c r="AA54" s="1">
        <v>13</v>
      </c>
      <c r="AB54" s="10">
        <f>DruidInt</f>
        <v>0</v>
      </c>
      <c r="AC54" s="10">
        <f>DruidWis</f>
        <v>0</v>
      </c>
      <c r="AD54" s="10">
        <f>DruidCha</f>
        <v>0</v>
      </c>
      <c r="AE54" s="12"/>
      <c r="AF54" s="12"/>
      <c r="AG54" s="12"/>
      <c r="AH54" s="12" t="s">
        <v>173</v>
      </c>
      <c r="AI54" s="12" t="str">
        <f>IF(ISBLANK(DruidAcrobatics),"",", Acrobatics +"&amp;DruidAcrobatics)&amp;IF(ISBLANK(DruidAnimalHandling),"",", Animal Handling +"&amp;DruidAnimalHandling)&amp;IF(ISBLANK(DruidArcana),"",", Arcana +"&amp;DruidArcana)&amp;IF(DruidAthletics+AE54=0,"",", Athletics +"&amp;MAX(DruidAthletics,AE54))&amp;IF(ISBLANK(DruidDeception),"",",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+"&amp;DruidNature)&amp;IF(DruidPerception+AF54=0,"",", Perception +"&amp;MAX(DruidPerception,AF54))&amp;IF(ISBLANK(DruidPerformance),"",", Performance +"&amp;DruidPerformance)&amp;IF(ISBLANK(DruidPersuasion),"",", Persuasion +"&amp;DruidPersuasion)&amp;IF(ISBLANK(DruidReligion),"",", Religion +"&amp;DruidReligion)&amp;IF(ISBLANK(DruidSleightofHand),"",", Sleight of Hand +"&amp;DruidSleightofHand)&amp;IF(DruidStealth+AG54=0,"",", Stealth +"&amp;MAX(DruidStealth,AG54))&amp;IF(ISBLANK(DruidSurvival),"",", Survival +"&amp;DruidSurvival)</f>
        <v/>
      </c>
      <c r="AJ54" s="1" t="e">
        <f>RIGHT(AI54,LEN(AI54)-2)</f>
        <v>#VALUE!</v>
      </c>
      <c r="AK5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4" s="1" t="s">
        <v>173</v>
      </c>
      <c r="AM54" s="1" t="s">
        <v>178</v>
      </c>
      <c r="AN54" s="3">
        <f>IF(DruidPerception+AF54=0,10+(ROUNDDOWN((AC54-10)/2,0)),10+MAX(DruidPerception,AF54))</f>
        <v>5</v>
      </c>
      <c r="AO54" s="1"/>
      <c r="AP54" s="1"/>
      <c r="AQ54" s="1"/>
      <c r="AR54" s="1"/>
      <c r="AS54" s="1"/>
      <c r="AT54" s="3" t="s">
        <v>59</v>
      </c>
      <c r="AU54" s="3" t="s">
        <v>148</v>
      </c>
      <c r="AV54" s="3" t="s">
        <v>333</v>
      </c>
      <c r="AW54" s="3" t="s">
        <v>173</v>
      </c>
      <c r="AZ54" s="3"/>
      <c r="BA54" s="3" t="s">
        <v>273</v>
      </c>
      <c r="BB54" s="3" t="s">
        <v>148</v>
      </c>
      <c r="BC54" s="3" t="s">
        <v>334</v>
      </c>
      <c r="BD54" s="3" t="s">
        <v>173</v>
      </c>
      <c r="BG54" s="3"/>
      <c r="BH54" s="3" t="s">
        <v>161</v>
      </c>
      <c r="BI54" s="3" t="s">
        <v>150</v>
      </c>
      <c r="BK54" s="3" t="s">
        <v>173</v>
      </c>
      <c r="BL54" s="3" t="s">
        <v>161</v>
      </c>
      <c r="BM54" s="3">
        <v>4</v>
      </c>
      <c r="BN54" s="3" t="s">
        <v>237</v>
      </c>
      <c r="BO54" s="3" t="s">
        <v>298</v>
      </c>
      <c r="BP54" s="3" t="s">
        <v>150</v>
      </c>
      <c r="BQ54" s="3" t="s">
        <v>516</v>
      </c>
      <c r="BR54" s="3" t="s">
        <v>173</v>
      </c>
      <c r="BY54" s="3" t="s">
        <v>173</v>
      </c>
      <c r="CJ54" s="6">
        <v>1</v>
      </c>
      <c r="CK54" s="6">
        <f>IF(CJ54&lt;0.26,2,IF(CJ54&lt;0.51,4,IF(CJ54&lt;1.1,8,99)))</f>
        <v>8</v>
      </c>
      <c r="CL54" s="3">
        <f>IF(M54="Elemental",10,IF(CJ54&lt;2,2,CJ54*3))</f>
        <v>2</v>
      </c>
      <c r="CM54" s="3">
        <f>IF(W54&gt;0,8,0)</f>
        <v>0</v>
      </c>
      <c r="CN54" s="3">
        <f>IF(X54&gt;0,4,0)</f>
        <v>4</v>
      </c>
    </row>
    <row r="55" spans="1:92">
      <c r="A55" s="3" t="str">
        <f>IF(DruidLevel&lt;B55,"",CHAR(9)&amp;"&lt;monster&gt;"&amp;CHAR(13)&amp;CHAR(9)&amp;CHAR(9)&amp;"&lt;name&gt;"&amp;L55&amp;" (Wild Shape)&lt;/name&gt;"&amp;CHAR(13)&amp;CHAR(9)&amp;CHAR(9)&amp;"&lt;size&gt;"&amp;LEFT(P55,1)&amp;"&lt;/size&gt;"&amp;CHAR(13)&amp;CHAR(9)&amp;CHAR(9)&amp;"&lt;type&gt;"&amp;M55&amp;"&lt;/type&gt;"&amp;CHAR(13)&amp;CHAR(9)&amp;CHAR(9)&amp;"&lt;alignment&gt;"&amp;N55&amp;"&lt;/alignment&gt;"&amp;CHAR(13)&amp;CHAR(9)&amp;CHAR(9)&amp;"&lt;ac&gt;"&amp;Q55&amp;IF(ISBLANK(R55),""," ("&amp;R55&amp;")")&amp;"&lt;/ac&gt;"&amp;CHAR(13)&amp;CHAR(9)&amp;CHAR(9)&amp;"&lt;hp&gt;"&amp;S55&amp;"&lt;/hp&gt;"&amp;CHAR(13)&amp;CHAR(9)&amp;CHAR(9)&amp;"&lt;speed&gt;"&amp;E55&amp;"&lt;/speed&gt;"&amp;CHAR(13)&amp;CHAR(9)&amp;CHAR(9)&amp;"&lt;str&gt;"&amp;Y55&amp;"&lt;/str&gt;&lt;dex&gt;"&amp;Z55&amp;"&lt;/dex&gt;&lt;con&gt;"&amp;AA55&amp;"&lt;/con&gt;&lt;int&gt;"&amp;AB55&amp;"&lt;/int&gt;&lt;wis&gt;"&amp;AC55&amp;"&lt;/wis&gt;&lt;cha&gt;"&amp;AD55&amp;"&lt;/cha&gt;"&amp;CHAR(13)&amp;CHAR(9)&amp;CHAR(9)&amp;"&lt;save&gt;"&amp;AK55&amp;"&lt;/save&gt;"&amp;CHAR(13)&amp;CHAR(9)&amp;CHAR(9)&amp;"&lt;skill&gt;"&amp;AJ55&amp;"&lt;/skill&gt;"&amp;CHAR(13)&amp;CHAR(9)&amp;CHAR(9)&amp;"&lt;vulnerable&gt;"&amp;AO55&amp;"&lt;/vulnerable&gt;"&amp;CHAR(13)&amp;CHAR(9)&amp;CHAR(9)&amp;"&lt;resist&gt;"&amp;AP55&amp;"&lt;/resist&gt;"&amp;CHAR(13)&amp;CHAR(9)&amp;CHAR(9)&amp;"&lt;immune&gt;"&amp;AQ55&amp;"&lt;/immune&gt;"&amp;CHAR(13)&amp;CHAR(9)&amp;CHAR(9)&amp;"&lt;conditionImmune&gt;"&amp;AR55&amp;"&lt;/conditionImmune&gt;"&amp;CHAR(13)&amp;CHAR(9)&amp;CHAR(9)&amp;"&lt;senses&gt;"&amp;AM55&amp;"&lt;/senses&gt;"&amp;CHAR(13)&amp;CHAR(9)&amp;CHAR(9)&amp;"&lt;passive&gt;"&amp;AN55&amp;"&lt;/passive&gt;"&amp;CHAR(13)&amp;CHAR(9)&amp;CHAR(9)&amp;"&lt;languages&gt;"&amp;AS55&amp;"&lt;/languages&gt;"&amp;CHAR(13)&amp;CHAR(9)&amp;CHAR(9)&amp;"&lt;cr&gt;"&amp;O55&amp;"&lt;/cr&gt;"&amp;F55&amp;G55&amp;H55&amp;I55&amp;J55&amp;K55&amp;IF(C55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5" s="3">
        <f>IF(COTM=TRUE,MAX(CL55,CM55,CN55),MAX(CK55,CM55,CN55))</f>
        <v>8</v>
      </c>
      <c r="C55" s="11" t="str">
        <f>IF(COTM=FALSE,"",IF(DruidLevel&gt;5,"Y",""))</f>
        <v/>
      </c>
      <c r="D55" s="3" t="s">
        <v>173</v>
      </c>
      <c r="E55" s="3" t="str">
        <f>T55&amp;" ft."&amp;IF(U55+V55+W55+X55=0,"",", ")&amp;IF(ISBLANK(U55),"","burrow "&amp;U55&amp;" ft."&amp;IF(V55+W55+X55=0,"",", "))&amp;IF(ISBLANK(V55),"","climb "&amp;V55&amp;" ft."&amp;IF(W55+X55=0,"",", "))&amp;IF(ISBLANK(W55),"","fly "&amp;W55&amp;" ft."&amp;IF(X55=0,"",", "))&amp;IF(ISBLANK(X55),"","swim "&amp;X55&amp;" ft.")</f>
        <v>10 ft., fly 60 ft.</v>
      </c>
      <c r="F55" s="3" t="str">
        <f>IF(ISBLANK(AT55),"",CHAR(13)&amp;CHAR(9)&amp;CHAR(9)&amp;"&lt;"&amp;AU55&amp;"&gt;"&amp;CHAR(13)&amp;CHAR(9)&amp;CHAR(9)&amp;CHAR(9)&amp;"&lt;name&gt;"&amp;AT55&amp;"&lt;/name&gt;"&amp;CHAR(13)&amp;CHAR(9)&amp;CHAR(9)&amp;CHAR(9)&amp;"&lt;text&gt;"&amp;AV55&amp;"&lt;/text&gt;"&amp;IF(ISBLANK(AX55),"",CHAR(13)&amp;CHAR(9)&amp;CHAR(9)&amp;CHAR(9)&amp;"&lt;attack&gt;"&amp;AX55&amp;"|"&amp;AY55&amp;"|"&amp;AZ55&amp;"&lt;/attack&gt;")&amp;CHAR(13)&amp;CHAR(9)&amp;CHAR(9)&amp;"&lt;/"&amp;AU55&amp;"&gt;")</f>
        <v>_x000D_		&lt;trait&gt;_x000D_			&lt;name&gt;Keen Sight and Smell&lt;/name&gt;_x000D_			&lt;text&gt;The vulture has advantage on Wisdom (Perception) checks that rely on sight or smell.&lt;/text&gt;_x000D_		&lt;/trait&gt;</v>
      </c>
      <c r="G55" s="3" t="str">
        <f>IF(ISBLANK(BA55),"",CHAR(13)&amp;CHAR(9)&amp;CHAR(9)&amp;"&lt;"&amp;BB55&amp;"&gt;"&amp;CHAR(13)&amp;CHAR(9)&amp;CHAR(9)&amp;CHAR(9)&amp;"&lt;name&gt;"&amp;BA55&amp;"&lt;/name&gt;"&amp;CHAR(13)&amp;CHAR(9)&amp;CHAR(9)&amp;CHAR(9)&amp;"&lt;text&gt;"&amp;BC55&amp;"&lt;/text&gt;"&amp;IF(ISBLANK(BE55),"",CHAR(13)&amp;CHAR(9)&amp;CHAR(9)&amp;CHAR(9)&amp;"&lt;attack&gt;"&amp;BE55&amp;"|"&amp;BF55&amp;"|"&amp;BG55&amp;"&lt;/attack&gt;")&amp;CHAR(13)&amp;CHAR(9)&amp;CHAR(9)&amp;"&lt;/"&amp;BB55&amp;"&gt;")</f>
        <v>_x000D_		&lt;trait&gt;_x000D_			&lt;name&gt;Pack Tactics&lt;/name&gt;_x000D_			&lt;text&gt;The vulture has advantage on an attack roll against a creature if at least one of the vulture's allies is within 5 feet of the creature and the ally isn't incapacitated.&lt;/text&gt;_x000D_		&lt;/trait&gt;</v>
      </c>
      <c r="H55" s="3" t="str">
        <f>IF(ISBLANK(BH55),"",CHAR(13)&amp;CHAR(9)&amp;CHAR(9)&amp;"&lt;"&amp;BI55&amp;"&gt;"&amp;CHAR(13)&amp;CHAR(9)&amp;CHAR(9)&amp;CHAR(9)&amp;"&lt;name&gt;"&amp;BH55&amp;"&lt;/name&gt;"&amp;CHAR(13)&amp;CHAR(9)&amp;CHAR(9)&amp;CHAR(9)&amp;"&lt;text&gt;"&amp;BJ55&amp;"&lt;/text&gt;"&amp;IF(ISBLANK(BL55),"",CHAR(13)&amp;CHAR(9)&amp;CHAR(9)&amp;CHAR(9)&amp;"&lt;attack&gt;"&amp;BL55&amp;"|"&amp;BM55&amp;"|"&amp;BN55&amp;"&lt;/attack&gt;")&amp;CHAR(13)&amp;CHAR(9)&amp;CHAR(9)&amp;"&lt;/"&amp;BI55&amp;"&gt;")</f>
        <v>_x000D_		&lt;action&gt;_x000D_			&lt;name&gt;Multiattack&lt;/name&gt;_x000D_			&lt;text&gt;The vulture makes two attacks: one with its beak and one with its talons.&lt;/text&gt;_x000D_		&lt;/action&gt;</v>
      </c>
      <c r="I55" s="3" t="str">
        <f>IF(ISBLANK(BO55),"",CHAR(13)&amp;CHAR(9)&amp;CHAR(9)&amp;"&lt;"&amp;BP55&amp;"&gt;"&amp;CHAR(13)&amp;CHAR(9)&amp;CHAR(9)&amp;CHAR(9)&amp;"&lt;name&gt;"&amp;BO55&amp;"&lt;/name&gt;"&amp;CHAR(13)&amp;CHAR(9)&amp;CHAR(9)&amp;CHAR(9)&amp;"&lt;text&gt;"&amp;BQ55&amp;"&lt;/text&gt;"&amp;IF(ISBLANK(BS55),"",CHAR(13)&amp;CHAR(9)&amp;CHAR(9)&amp;CHAR(9)&amp;"&lt;attack&gt;"&amp;BS55&amp;"|"&amp;BT55&amp;"|"&amp;BU55&amp;"&lt;/attack&gt;")&amp;CHAR(13)&amp;CHAR(9)&amp;CHAR(9)&amp;"&lt;/"&amp;BP55&amp;"&gt;")</f>
        <v>_x000D_		&lt;action&gt;_x000D_			&lt;name&gt;Beak&lt;/name&gt;_x000D_			&lt;text&gt;Melee Weapon Attack: +4 to hit, reach 5 ft., one target. Hit: 7 (2d4+2) piercing damage.&lt;/text&gt;_x000D_			&lt;attack&gt;Beak|4|2d4+2&lt;/attack&gt;_x000D_		&lt;/action&gt;</v>
      </c>
      <c r="J55" s="3" t="str">
        <f>IF(ISBLANK(BV55),"",CHAR(13)&amp;CHAR(9)&amp;CHAR(9)&amp;"&lt;"&amp;BW55&amp;"&gt;"&amp;CHAR(13)&amp;CHAR(9)&amp;CHAR(9)&amp;CHAR(9)&amp;"&lt;name&gt;"&amp;BV55&amp;"&lt;/name&gt;"&amp;CHAR(13)&amp;CHAR(9)&amp;CHAR(9)&amp;CHAR(9)&amp;"&lt;text&gt;"&amp;BX55&amp;"&lt;/text&gt;"&amp;IF(ISBLANK(BZ55),"",CHAR(13)&amp;CHAR(9)&amp;CHAR(9)&amp;CHAR(9)&amp;"&lt;attack&gt;"&amp;BZ55&amp;"|"&amp;CA55&amp;"|"&amp;CB55&amp;"&lt;/attack&gt;")&amp;CHAR(13)&amp;CHAR(9)&amp;CHAR(9)&amp;"&lt;/"&amp;BW55&amp;"&gt;")</f>
        <v>_x000D_		&lt;action&gt;_x000D_			&lt;name&gt;Talons&lt;/name&gt;_x000D_			&lt;text&gt;Melee Weapon Attack: +4 to hit, reach 5 ft., one target. Hit: 9 (2d6+2) slashing damage.&lt;/text&gt;_x000D_			&lt;attack&gt;Talons|4|2d6+2&lt;/attack&gt;_x000D_		&lt;/action&gt;</v>
      </c>
      <c r="K55" s="3" t="str">
        <f>IF(ISBLANK(CC55),"",CHAR(13)&amp;CHAR(9)&amp;CHAR(9)&amp;"&lt;"&amp;CD55&amp;"&gt;"&amp;CHAR(13)&amp;CHAR(9)&amp;CHAR(9)&amp;CHAR(9)&amp;"&lt;name&gt;"&amp;CC55&amp;"&lt;/name&gt;"&amp;CHAR(13)&amp;CHAR(9)&amp;CHAR(9)&amp;CHAR(9)&amp;"&lt;text&gt;"&amp;CE55&amp;"&lt;/text&gt;"&amp;IF(ISBLANK(CG55),"",CHAR(13)&amp;CHAR(9)&amp;CHAR(9)&amp;CHAR(9)&amp;"&lt;attack&gt;"&amp;CG55&amp;"|"&amp;CH55&amp;"|"&amp;CI55&amp;"&lt;/attack&gt;")&amp;CHAR(13)&amp;CHAR(9)&amp;CHAR(9)&amp;"&lt;/"&amp;CD55&amp;"&gt;")</f>
        <v/>
      </c>
      <c r="L55" s="1" t="s">
        <v>7</v>
      </c>
      <c r="M55" s="1" t="s">
        <v>275</v>
      </c>
      <c r="N55" s="1">
        <f>DruidAlignment</f>
        <v>0</v>
      </c>
      <c r="O55" s="2">
        <v>1</v>
      </c>
      <c r="P55" s="1" t="s">
        <v>2</v>
      </c>
      <c r="Q55" s="1">
        <v>10</v>
      </c>
      <c r="R55" s="1"/>
      <c r="S55" s="1">
        <v>22</v>
      </c>
      <c r="T55" s="1">
        <v>10</v>
      </c>
      <c r="W55" s="1">
        <v>60</v>
      </c>
      <c r="X55" s="1"/>
      <c r="Y55" s="1">
        <v>15</v>
      </c>
      <c r="Z55" s="1">
        <v>10</v>
      </c>
      <c r="AA55" s="1">
        <v>15</v>
      </c>
      <c r="AB55" s="10">
        <f>DruidInt</f>
        <v>0</v>
      </c>
      <c r="AC55" s="10">
        <f>DruidWis</f>
        <v>0</v>
      </c>
      <c r="AD55" s="10">
        <f>DruidCha</f>
        <v>0</v>
      </c>
      <c r="AE55" s="12"/>
      <c r="AF55" s="12"/>
      <c r="AG55" s="12"/>
      <c r="AH55" s="12" t="s">
        <v>173</v>
      </c>
      <c r="AI55" s="12" t="str">
        <f>IF(ISBLANK(DruidAcrobatics),"",", Acrobatics +"&amp;DruidAcrobatics)&amp;IF(ISBLANK(DruidAnimalHandling),"",", Animal Handling +"&amp;DruidAnimalHandling)&amp;IF(ISBLANK(DruidArcana),"",", Arcana +"&amp;DruidArcana)&amp;IF(DruidAthletics+AE55=0,"",", Athletics +"&amp;MAX(DruidAthletics,AE55))&amp;IF(ISBLANK(DruidDeception),"",",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+"&amp;DruidNature)&amp;IF(DruidPerception+AF55=0,"",", Perception +"&amp;MAX(DruidPerception,AF55))&amp;IF(ISBLANK(DruidPerformance),"",", Performance +"&amp;DruidPerformance)&amp;IF(ISBLANK(DruidPersuasion),"",", Persuasion +"&amp;DruidPersuasion)&amp;IF(ISBLANK(DruidReligion),"",", Religion +"&amp;DruidReligion)&amp;IF(ISBLANK(DruidSleightofHand),"",", Sleight of Hand +"&amp;DruidSleightofHand)&amp;IF(DruidStealth+AG55=0,"",", Stealth +"&amp;MAX(DruidStealth,AG55))&amp;IF(ISBLANK(DruidSurvival),"",", Survival +"&amp;DruidSurvival)</f>
        <v/>
      </c>
      <c r="AJ55" s="1" t="e">
        <f>RIGHT(AI55,LEN(AI55)-2)</f>
        <v>#VALUE!</v>
      </c>
      <c r="AK5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5" s="1" t="s">
        <v>173</v>
      </c>
      <c r="AN55" s="3">
        <f>IF(DruidPerception+AF55=0,10+(ROUNDDOWN((AC55-10)/2,0)),10+MAX(DruidPerception,AF55))</f>
        <v>5</v>
      </c>
      <c r="AS55" s="3" t="s">
        <v>143</v>
      </c>
      <c r="AT55" s="3" t="s">
        <v>335</v>
      </c>
      <c r="AU55" s="3" t="s">
        <v>148</v>
      </c>
      <c r="AV55" s="3" t="s">
        <v>336</v>
      </c>
      <c r="AW55" s="3" t="s">
        <v>173</v>
      </c>
      <c r="AZ55" s="3"/>
      <c r="BA55" s="3" t="s">
        <v>12</v>
      </c>
      <c r="BB55" s="3" t="s">
        <v>148</v>
      </c>
      <c r="BC55" s="3" t="s">
        <v>485</v>
      </c>
      <c r="BD55" s="3" t="s">
        <v>173</v>
      </c>
      <c r="BG55" s="3"/>
      <c r="BH55" s="3" t="s">
        <v>149</v>
      </c>
      <c r="BI55" s="3" t="s">
        <v>150</v>
      </c>
      <c r="BJ55" s="3" t="s">
        <v>337</v>
      </c>
      <c r="BK55" s="3" t="s">
        <v>173</v>
      </c>
      <c r="BN55" s="3"/>
      <c r="BO55" s="3" t="s">
        <v>174</v>
      </c>
      <c r="BP55" s="3" t="s">
        <v>150</v>
      </c>
      <c r="BQ55" s="3" t="s">
        <v>460</v>
      </c>
      <c r="BS55" s="3" t="s">
        <v>174</v>
      </c>
      <c r="BT55" s="3">
        <v>4</v>
      </c>
      <c r="BU55" s="3" t="s">
        <v>221</v>
      </c>
      <c r="BV55" s="3" t="s">
        <v>243</v>
      </c>
      <c r="BW55" s="3" t="s">
        <v>150</v>
      </c>
      <c r="BX55" s="3" t="s">
        <v>461</v>
      </c>
      <c r="BY55" s="3" t="s">
        <v>173</v>
      </c>
      <c r="BZ55" s="3" t="s">
        <v>243</v>
      </c>
      <c r="CA55" s="3">
        <v>4</v>
      </c>
      <c r="CB55" s="3" t="s">
        <v>274</v>
      </c>
      <c r="CJ55" s="6">
        <v>1</v>
      </c>
      <c r="CK55" s="6">
        <f>IF(CJ55&lt;0.26,2,IF(CJ55&lt;0.51,4,IF(CJ55&lt;1.1,8,99)))</f>
        <v>8</v>
      </c>
      <c r="CL55" s="3">
        <f>IF(M55="Elemental",10,IF(CJ55&lt;2,2,CJ55*3))</f>
        <v>2</v>
      </c>
      <c r="CM55" s="3">
        <f>IF(W55&gt;0,8,0)</f>
        <v>8</v>
      </c>
      <c r="CN55" s="3">
        <f>IF(X55&gt;0,4,0)</f>
        <v>0</v>
      </c>
    </row>
    <row r="56" spans="1:92">
      <c r="A56" s="3" t="str">
        <f>IF(DruidLevel&lt;B56,"",CHAR(9)&amp;"&lt;monster&gt;"&amp;CHAR(13)&amp;CHAR(9)&amp;CHAR(9)&amp;"&lt;name&gt;"&amp;L56&amp;" (Wild Shape)&lt;/name&gt;"&amp;CHAR(13)&amp;CHAR(9)&amp;CHAR(9)&amp;"&lt;size&gt;"&amp;LEFT(P56,1)&amp;"&lt;/size&gt;"&amp;CHAR(13)&amp;CHAR(9)&amp;CHAR(9)&amp;"&lt;type&gt;"&amp;M56&amp;"&lt;/type&gt;"&amp;CHAR(13)&amp;CHAR(9)&amp;CHAR(9)&amp;"&lt;alignment&gt;"&amp;N56&amp;"&lt;/alignment&gt;"&amp;CHAR(13)&amp;CHAR(9)&amp;CHAR(9)&amp;"&lt;ac&gt;"&amp;Q56&amp;IF(ISBLANK(R56),""," ("&amp;R56&amp;")")&amp;"&lt;/ac&gt;"&amp;CHAR(13)&amp;CHAR(9)&amp;CHAR(9)&amp;"&lt;hp&gt;"&amp;S56&amp;"&lt;/hp&gt;"&amp;CHAR(13)&amp;CHAR(9)&amp;CHAR(9)&amp;"&lt;speed&gt;"&amp;E56&amp;"&lt;/speed&gt;"&amp;CHAR(13)&amp;CHAR(9)&amp;CHAR(9)&amp;"&lt;str&gt;"&amp;Y56&amp;"&lt;/str&gt;&lt;dex&gt;"&amp;Z56&amp;"&lt;/dex&gt;&lt;con&gt;"&amp;AA56&amp;"&lt;/con&gt;&lt;int&gt;"&amp;AB56&amp;"&lt;/int&gt;&lt;wis&gt;"&amp;AC56&amp;"&lt;/wis&gt;&lt;cha&gt;"&amp;AD56&amp;"&lt;/cha&gt;"&amp;CHAR(13)&amp;CHAR(9)&amp;CHAR(9)&amp;"&lt;save&gt;"&amp;AK56&amp;"&lt;/save&gt;"&amp;CHAR(13)&amp;CHAR(9)&amp;CHAR(9)&amp;"&lt;skill&gt;"&amp;AJ56&amp;"&lt;/skill&gt;"&amp;CHAR(13)&amp;CHAR(9)&amp;CHAR(9)&amp;"&lt;vulnerable&gt;"&amp;AO56&amp;"&lt;/vulnerable&gt;"&amp;CHAR(13)&amp;CHAR(9)&amp;CHAR(9)&amp;"&lt;resist&gt;"&amp;AP56&amp;"&lt;/resist&gt;"&amp;CHAR(13)&amp;CHAR(9)&amp;CHAR(9)&amp;"&lt;immune&gt;"&amp;AQ56&amp;"&lt;/immune&gt;"&amp;CHAR(13)&amp;CHAR(9)&amp;CHAR(9)&amp;"&lt;conditionImmune&gt;"&amp;AR56&amp;"&lt;/conditionImmune&gt;"&amp;CHAR(13)&amp;CHAR(9)&amp;CHAR(9)&amp;"&lt;senses&gt;"&amp;AM56&amp;"&lt;/senses&gt;"&amp;CHAR(13)&amp;CHAR(9)&amp;CHAR(9)&amp;"&lt;passive&gt;"&amp;AN56&amp;"&lt;/passive&gt;"&amp;CHAR(13)&amp;CHAR(9)&amp;CHAR(9)&amp;"&lt;languages&gt;"&amp;AS56&amp;"&lt;/languages&gt;"&amp;CHAR(13)&amp;CHAR(9)&amp;CHAR(9)&amp;"&lt;cr&gt;"&amp;O56&amp;"&lt;/cr&gt;"&amp;F56&amp;G56&amp;H56&amp;I56&amp;J56&amp;K56&amp;IF(C56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6" s="3">
        <f>IF(COTM=TRUE,MAX(CL56,CM56,CN56),MAX(CK56,CM56,CN56))</f>
        <v>8</v>
      </c>
      <c r="C56" s="11" t="str">
        <f>IF(COTM=FALSE,"",IF(DruidLevel&gt;5,"Y",""))</f>
        <v/>
      </c>
      <c r="D56" s="3" t="s">
        <v>173</v>
      </c>
      <c r="E56" s="3" t="str">
        <f>T56&amp;" ft."&amp;IF(U56+V56+W56+X56=0,"",", ")&amp;IF(ISBLANK(U56),"","burrow "&amp;U56&amp;" ft."&amp;IF(V56+W56+X56=0,"",", "))&amp;IF(ISBLANK(V56),"","climb "&amp;V56&amp;" ft."&amp;IF(W56+X56=0,"",", "))&amp;IF(ISBLANK(W56),"","fly "&amp;W56&amp;" ft."&amp;IF(X56=0,"",", "))&amp;IF(ISBLANK(X56),"","swim "&amp;X56&amp;" ft.")</f>
        <v>10 ft., fly 50 ft., swim 50 ft.</v>
      </c>
      <c r="F56" s="3" t="str">
        <f>IF(ISBLANK(AT56),"",CHAR(13)&amp;CHAR(9)&amp;CHAR(9)&amp;"&lt;"&amp;AU56&amp;"&gt;"&amp;CHAR(13)&amp;CHAR(9)&amp;CHAR(9)&amp;CHAR(9)&amp;"&lt;name&gt;"&amp;AT56&amp;"&lt;/name&gt;"&amp;CHAR(13)&amp;CHAR(9)&amp;CHAR(9)&amp;CHAR(9)&amp;"&lt;text&gt;"&amp;AV56&amp;"&lt;/text&gt;"&amp;IF(ISBLANK(AX56),"",CHAR(13)&amp;CHAR(9)&amp;CHAR(9)&amp;CHAR(9)&amp;"&lt;attack&gt;"&amp;AX56&amp;"|"&amp;AY56&amp;"|"&amp;AZ56&amp;"&lt;/attack&gt;")&amp;CHAR(13)&amp;CHAR(9)&amp;CHAR(9)&amp;"&lt;/"&amp;AU56&amp;"&gt;")</f>
        <v>_x000D_		&lt;action&gt;_x000D_			&lt;name&gt;Sting&lt;/name&gt;_x000D_			&lt;text&gt;Sting. Melee Weapon Attack: +4 to hit, reach 5 ft., one creature. Hit: 5 (1d6+2) piercing damage, and the target must make a DC 11 Constitution saving throw, taking 10 (3d6) poison damage on a failed save, or half as much damage on a successful one. If the poison damage reduces the target to 0 hit points, the target is stable but poisoned for 1 hour, even after regaining hit points, and is paralyzed while poisoned in this way.&lt;/text&gt;_x000D_			&lt;attack&gt;Sting|4|1d6+2&lt;/attack&gt;_x000D_		&lt;/action&gt;</v>
      </c>
      <c r="G56" s="3" t="str">
        <f>IF(ISBLANK(BA56),"",CHAR(13)&amp;CHAR(9)&amp;CHAR(9)&amp;"&lt;"&amp;BB56&amp;"&gt;"&amp;CHAR(13)&amp;CHAR(9)&amp;CHAR(9)&amp;CHAR(9)&amp;"&lt;name&gt;"&amp;BA56&amp;"&lt;/name&gt;"&amp;CHAR(13)&amp;CHAR(9)&amp;CHAR(9)&amp;CHAR(9)&amp;"&lt;text&gt;"&amp;BC56&amp;"&lt;/text&gt;"&amp;IF(ISBLANK(BE56),"",CHAR(13)&amp;CHAR(9)&amp;CHAR(9)&amp;CHAR(9)&amp;"&lt;attack&gt;"&amp;BE56&amp;"|"&amp;BF56&amp;"|"&amp;BG56&amp;"&lt;/attack&gt;")&amp;CHAR(13)&amp;CHAR(9)&amp;CHAR(9)&amp;"&lt;/"&amp;BB56&amp;"&gt;")</f>
        <v/>
      </c>
      <c r="H56" s="3" t="str">
        <f>IF(ISBLANK(BH56),"",CHAR(13)&amp;CHAR(9)&amp;CHAR(9)&amp;"&lt;"&amp;BI56&amp;"&gt;"&amp;CHAR(13)&amp;CHAR(9)&amp;CHAR(9)&amp;CHAR(9)&amp;"&lt;name&gt;"&amp;BH56&amp;"&lt;/name&gt;"&amp;CHAR(13)&amp;CHAR(9)&amp;CHAR(9)&amp;CHAR(9)&amp;"&lt;text&gt;"&amp;BJ56&amp;"&lt;/text&gt;"&amp;IF(ISBLANK(BL56),"",CHAR(13)&amp;CHAR(9)&amp;CHAR(9)&amp;CHAR(9)&amp;"&lt;attack&gt;"&amp;BL56&amp;"|"&amp;BM56&amp;"|"&amp;BN56&amp;"&lt;/attack&gt;")&amp;CHAR(13)&amp;CHAR(9)&amp;CHAR(9)&amp;"&lt;/"&amp;BI56&amp;"&gt;")</f>
        <v/>
      </c>
      <c r="I56" s="3" t="str">
        <f>IF(ISBLANK(BO56),"",CHAR(13)&amp;CHAR(9)&amp;CHAR(9)&amp;"&lt;"&amp;BP56&amp;"&gt;"&amp;CHAR(13)&amp;CHAR(9)&amp;CHAR(9)&amp;CHAR(9)&amp;"&lt;name&gt;"&amp;BO56&amp;"&lt;/name&gt;"&amp;CHAR(13)&amp;CHAR(9)&amp;CHAR(9)&amp;CHAR(9)&amp;"&lt;text&gt;"&amp;BQ56&amp;"&lt;/text&gt;"&amp;IF(ISBLANK(BS56),"",CHAR(13)&amp;CHAR(9)&amp;CHAR(9)&amp;CHAR(9)&amp;"&lt;attack&gt;"&amp;BS56&amp;"|"&amp;BT56&amp;"|"&amp;BU56&amp;"&lt;/attack&gt;")&amp;CHAR(13)&amp;CHAR(9)&amp;CHAR(9)&amp;"&lt;/"&amp;BP56&amp;"&gt;")</f>
        <v/>
      </c>
      <c r="J56" s="3" t="str">
        <f>IF(ISBLANK(BV56),"",CHAR(13)&amp;CHAR(9)&amp;CHAR(9)&amp;"&lt;"&amp;BW56&amp;"&gt;"&amp;CHAR(13)&amp;CHAR(9)&amp;CHAR(9)&amp;CHAR(9)&amp;"&lt;name&gt;"&amp;BV56&amp;"&lt;/name&gt;"&amp;CHAR(13)&amp;CHAR(9)&amp;CHAR(9)&amp;CHAR(9)&amp;"&lt;text&gt;"&amp;BX56&amp;"&lt;/text&gt;"&amp;IF(ISBLANK(BZ56),"",CHAR(13)&amp;CHAR(9)&amp;CHAR(9)&amp;CHAR(9)&amp;"&lt;attack&gt;"&amp;BZ56&amp;"|"&amp;CA56&amp;"|"&amp;CB56&amp;"&lt;/attack&gt;")&amp;CHAR(13)&amp;CHAR(9)&amp;CHAR(9)&amp;"&lt;/"&amp;BW56&amp;"&gt;")</f>
        <v/>
      </c>
      <c r="K56" s="3" t="str">
        <f>IF(ISBLANK(CC56),"",CHAR(13)&amp;CHAR(9)&amp;CHAR(9)&amp;"&lt;"&amp;CD56&amp;"&gt;"&amp;CHAR(13)&amp;CHAR(9)&amp;CHAR(9)&amp;CHAR(9)&amp;"&lt;name&gt;"&amp;CC56&amp;"&lt;/name&gt;"&amp;CHAR(13)&amp;CHAR(9)&amp;CHAR(9)&amp;CHAR(9)&amp;"&lt;text&gt;"&amp;CE56&amp;"&lt;/text&gt;"&amp;IF(ISBLANK(CG56),"",CHAR(13)&amp;CHAR(9)&amp;CHAR(9)&amp;CHAR(9)&amp;"&lt;attack&gt;"&amp;CG56&amp;"|"&amp;CH56&amp;"|"&amp;CI56&amp;"&lt;/attack&gt;")&amp;CHAR(13)&amp;CHAR(9)&amp;CHAR(9)&amp;"&lt;/"&amp;CD56&amp;"&gt;")</f>
        <v/>
      </c>
      <c r="L56" s="1" t="s">
        <v>99</v>
      </c>
      <c r="M56" s="1" t="s">
        <v>275</v>
      </c>
      <c r="N56" s="1">
        <f>DruidAlignment</f>
        <v>0</v>
      </c>
      <c r="O56" s="2" t="s">
        <v>206</v>
      </c>
      <c r="P56" s="1" t="s">
        <v>17</v>
      </c>
      <c r="Q56" s="1">
        <v>12</v>
      </c>
      <c r="R56" s="1"/>
      <c r="S56" s="1">
        <v>13</v>
      </c>
      <c r="T56" s="1">
        <v>10</v>
      </c>
      <c r="W56" s="1">
        <v>50</v>
      </c>
      <c r="X56" s="1">
        <v>50</v>
      </c>
      <c r="Y56" s="1">
        <v>10</v>
      </c>
      <c r="Z56" s="1">
        <v>14</v>
      </c>
      <c r="AA56" s="1">
        <v>10</v>
      </c>
      <c r="AB56" s="10">
        <f>DruidInt</f>
        <v>0</v>
      </c>
      <c r="AC56" s="10">
        <f>DruidWis</f>
        <v>0</v>
      </c>
      <c r="AD56" s="10">
        <f>DruidCha</f>
        <v>0</v>
      </c>
      <c r="AE56" s="12"/>
      <c r="AF56" s="12"/>
      <c r="AG56" s="12"/>
      <c r="AH56" s="12" t="s">
        <v>173</v>
      </c>
      <c r="AI56" s="12" t="str">
        <f>IF(ISBLANK(DruidAcrobatics),"",", Acrobatics +"&amp;DruidAcrobatics)&amp;IF(ISBLANK(DruidAnimalHandling),"",", Animal Handling +"&amp;DruidAnimalHandling)&amp;IF(ISBLANK(DruidArcana),"",", Arcana +"&amp;DruidArcana)&amp;IF(DruidAthletics+AE56=0,"",", Athletics +"&amp;MAX(DruidAthletics,AE56))&amp;IF(ISBLANK(DruidDeception),"",",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+"&amp;DruidNature)&amp;IF(DruidPerception+AF56=0,"",", Perception +"&amp;MAX(DruidPerception,AF56))&amp;IF(ISBLANK(DruidPerformance),"",", Performance +"&amp;DruidPerformance)&amp;IF(ISBLANK(DruidPersuasion),"",", Persuasion +"&amp;DruidPersuasion)&amp;IF(ISBLANK(DruidReligion),"",", Religion +"&amp;DruidReligion)&amp;IF(ISBLANK(DruidSleightofHand),"",", Sleight of Hand +"&amp;DruidSleightofHand)&amp;IF(DruidStealth+AG56=0,"",", Stealth +"&amp;MAX(DruidStealth,AG56))&amp;IF(ISBLANK(DruidSurvival),"",", Survival +"&amp;DruidSurvival)</f>
        <v/>
      </c>
      <c r="AJ56" s="1" t="e">
        <f>RIGHT(AI56,LEN(AI56)-2)</f>
        <v>#VALUE!</v>
      </c>
      <c r="AK5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6" s="1" t="s">
        <v>173</v>
      </c>
      <c r="AN56" s="3">
        <f>IF(DruidPerception+AF56=0,10+(ROUNDDOWN((AC56-10)/2,0)),10+MAX(DruidPerception,AF56))</f>
        <v>5</v>
      </c>
      <c r="AT56" s="3" t="s">
        <v>205</v>
      </c>
      <c r="AU56" s="3" t="s">
        <v>150</v>
      </c>
      <c r="AV56" s="3" t="s">
        <v>462</v>
      </c>
      <c r="AW56" s="3" t="s">
        <v>173</v>
      </c>
      <c r="AX56" s="3" t="s">
        <v>205</v>
      </c>
      <c r="AY56" s="3">
        <v>4</v>
      </c>
      <c r="AZ56" s="3" t="s">
        <v>219</v>
      </c>
      <c r="BD56" s="3" t="s">
        <v>173</v>
      </c>
      <c r="BG56" s="3"/>
      <c r="BK56" s="3" t="s">
        <v>173</v>
      </c>
      <c r="BN56" s="3"/>
      <c r="BR56" s="3" t="s">
        <v>173</v>
      </c>
      <c r="BY56" s="3" t="s">
        <v>173</v>
      </c>
      <c r="CJ56" s="6">
        <v>0.5</v>
      </c>
      <c r="CK56" s="6">
        <f>IF(CJ56&lt;0.26,2,IF(CJ56&lt;0.51,4,IF(CJ56&lt;1.1,8,99)))</f>
        <v>4</v>
      </c>
      <c r="CL56" s="3">
        <f>IF(M56="Elemental",10,IF(CJ56&lt;2,2,CJ56*3))</f>
        <v>2</v>
      </c>
      <c r="CM56" s="3">
        <f>IF(W56&gt;0,8,0)</f>
        <v>8</v>
      </c>
      <c r="CN56" s="3">
        <f>IF(X56&gt;0,4,0)</f>
        <v>4</v>
      </c>
    </row>
    <row r="57" spans="1:92">
      <c r="A57" s="3" t="str">
        <f>IF(DruidLevel&lt;B57,"",CHAR(9)&amp;"&lt;monster&gt;"&amp;CHAR(13)&amp;CHAR(9)&amp;CHAR(9)&amp;"&lt;name&gt;"&amp;L57&amp;" (Wild Shape)&lt;/name&gt;"&amp;CHAR(13)&amp;CHAR(9)&amp;CHAR(9)&amp;"&lt;size&gt;"&amp;LEFT(P57,1)&amp;"&lt;/size&gt;"&amp;CHAR(13)&amp;CHAR(9)&amp;CHAR(9)&amp;"&lt;type&gt;"&amp;M57&amp;"&lt;/type&gt;"&amp;CHAR(13)&amp;CHAR(9)&amp;CHAR(9)&amp;"&lt;alignment&gt;"&amp;N57&amp;"&lt;/alignment&gt;"&amp;CHAR(13)&amp;CHAR(9)&amp;CHAR(9)&amp;"&lt;ac&gt;"&amp;Q57&amp;IF(ISBLANK(R57),""," ("&amp;R57&amp;")")&amp;"&lt;/ac&gt;"&amp;CHAR(13)&amp;CHAR(9)&amp;CHAR(9)&amp;"&lt;hp&gt;"&amp;S57&amp;"&lt;/hp&gt;"&amp;CHAR(13)&amp;CHAR(9)&amp;CHAR(9)&amp;"&lt;speed&gt;"&amp;E57&amp;"&lt;/speed&gt;"&amp;CHAR(13)&amp;CHAR(9)&amp;CHAR(9)&amp;"&lt;str&gt;"&amp;Y57&amp;"&lt;/str&gt;&lt;dex&gt;"&amp;Z57&amp;"&lt;/dex&gt;&lt;con&gt;"&amp;AA57&amp;"&lt;/con&gt;&lt;int&gt;"&amp;AB57&amp;"&lt;/int&gt;&lt;wis&gt;"&amp;AC57&amp;"&lt;/wis&gt;&lt;cha&gt;"&amp;AD57&amp;"&lt;/cha&gt;"&amp;CHAR(13)&amp;CHAR(9)&amp;CHAR(9)&amp;"&lt;save&gt;"&amp;AK57&amp;"&lt;/save&gt;"&amp;CHAR(13)&amp;CHAR(9)&amp;CHAR(9)&amp;"&lt;skill&gt;"&amp;AJ57&amp;"&lt;/skill&gt;"&amp;CHAR(13)&amp;CHAR(9)&amp;CHAR(9)&amp;"&lt;vulnerable&gt;"&amp;AO57&amp;"&lt;/vulnerable&gt;"&amp;CHAR(13)&amp;CHAR(9)&amp;CHAR(9)&amp;"&lt;resist&gt;"&amp;AP57&amp;"&lt;/resist&gt;"&amp;CHAR(13)&amp;CHAR(9)&amp;CHAR(9)&amp;"&lt;immune&gt;"&amp;AQ57&amp;"&lt;/immune&gt;"&amp;CHAR(13)&amp;CHAR(9)&amp;CHAR(9)&amp;"&lt;conditionImmune&gt;"&amp;AR57&amp;"&lt;/conditionImmune&gt;"&amp;CHAR(13)&amp;CHAR(9)&amp;CHAR(9)&amp;"&lt;senses&gt;"&amp;AM57&amp;"&lt;/senses&gt;"&amp;CHAR(13)&amp;CHAR(9)&amp;CHAR(9)&amp;"&lt;passive&gt;"&amp;AN57&amp;"&lt;/passive&gt;"&amp;CHAR(13)&amp;CHAR(9)&amp;CHAR(9)&amp;"&lt;languages&gt;"&amp;AS57&amp;"&lt;/languages&gt;"&amp;CHAR(13)&amp;CHAR(9)&amp;CHAR(9)&amp;"&lt;cr&gt;"&amp;O57&amp;"&lt;/cr&gt;"&amp;F57&amp;G57&amp;H57&amp;I57&amp;J57&amp;K57&amp;IF(C57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7" s="3">
        <f>IF(COTM=TRUE,MAX(CL57,CM57,CN57),MAX(CK57,CM57,CN57))</f>
        <v>2</v>
      </c>
      <c r="C57" s="11" t="str">
        <f>IF(COTM=FALSE,"",IF(DruidLevel&gt;5,"Y",""))</f>
        <v/>
      </c>
      <c r="D57" s="3" t="s">
        <v>173</v>
      </c>
      <c r="E57" s="3" t="str">
        <f>T57&amp;" ft."&amp;IF(U57+V57+W57+X57=0,"",", ")&amp;IF(ISBLANK(U57),"","burrow "&amp;U57&amp;" ft."&amp;IF(V57+W57+X57=0,"",", "))&amp;IF(ISBLANK(V57),"","climb "&amp;V57&amp;" ft."&amp;IF(W57+X57=0,"",", "))&amp;IF(ISBLANK(W57),"","fly "&amp;W57&amp;" ft."&amp;IF(X57=0,"",", "))&amp;IF(ISBLANK(X57),"","swim "&amp;X57&amp;" ft.")</f>
        <v>40 ft.</v>
      </c>
      <c r="F57" s="3" t="str">
        <f>IF(ISBLANK(AT57),"",CHAR(13)&amp;CHAR(9)&amp;CHAR(9)&amp;"&lt;"&amp;AU57&amp;"&gt;"&amp;CHAR(13)&amp;CHAR(9)&amp;CHAR(9)&amp;CHAR(9)&amp;"&lt;name&gt;"&amp;AT57&amp;"&lt;/name&gt;"&amp;CHAR(13)&amp;CHAR(9)&amp;CHAR(9)&amp;CHAR(9)&amp;"&lt;text&gt;"&amp;AV57&amp;"&lt;/text&gt;"&amp;IF(ISBLANK(AX57),"",CHAR(13)&amp;CHAR(9)&amp;CHAR(9)&amp;CHAR(9)&amp;"&lt;attack&gt;"&amp;AX57&amp;"|"&amp;AY57&amp;"|"&amp;AZ57&amp;"&lt;/attack&gt;")&amp;CHAR(13)&amp;CHAR(9)&amp;CHAR(9)&amp;"&lt;/"&amp;AU57&amp;"&gt;")</f>
        <v>_x000D_		&lt;trait&gt;_x000D_			&lt;name&gt;Keen Hearing and Smell&lt;/name&gt;_x000D_			&lt;text&gt;The weasel has advantage on Wisdom (Perception) checks that rely on hearing or smell.&lt;/text&gt;_x000D_		&lt;/trait&gt;</v>
      </c>
      <c r="G57" s="3" t="str">
        <f>IF(ISBLANK(BA57),"",CHAR(13)&amp;CHAR(9)&amp;CHAR(9)&amp;"&lt;"&amp;BB57&amp;"&gt;"&amp;CHAR(13)&amp;CHAR(9)&amp;CHAR(9)&amp;CHAR(9)&amp;"&lt;name&gt;"&amp;BA57&amp;"&lt;/name&gt;"&amp;CHAR(13)&amp;CHAR(9)&amp;CHAR(9)&amp;CHAR(9)&amp;"&lt;text&gt;"&amp;BC57&amp;"&lt;/text&gt;"&amp;IF(ISBLANK(BE57),"",CHAR(13)&amp;CHAR(9)&amp;CHAR(9)&amp;CHAR(9)&amp;"&lt;attack&gt;"&amp;BE57&amp;"|"&amp;BF57&amp;"|"&amp;BG57&amp;"&lt;/attack&gt;")&amp;CHAR(13)&amp;CHAR(9)&amp;CHAR(9)&amp;"&lt;/"&amp;BB57&amp;"&gt;")</f>
        <v>_x000D_		&lt;action&gt;_x000D_			&lt;name&gt;Bite&lt;/name&gt;_x000D_			&lt;text&gt;Weapon Attack: +5 to hit, reach 5 ft., one target. Hit: 5 (1d4+3) piercing damage.&lt;/text&gt;_x000D_			&lt;attack&gt;Bite|5|1d4+3&lt;/attack&gt;_x000D_		&lt;/action&gt;</v>
      </c>
      <c r="H57" s="3" t="str">
        <f>IF(ISBLANK(BH57),"",CHAR(13)&amp;CHAR(9)&amp;CHAR(9)&amp;"&lt;"&amp;BI57&amp;"&gt;"&amp;CHAR(13)&amp;CHAR(9)&amp;CHAR(9)&amp;CHAR(9)&amp;"&lt;name&gt;"&amp;BH57&amp;"&lt;/name&gt;"&amp;CHAR(13)&amp;CHAR(9)&amp;CHAR(9)&amp;CHAR(9)&amp;"&lt;text&gt;"&amp;BJ57&amp;"&lt;/text&gt;"&amp;IF(ISBLANK(BL57),"",CHAR(13)&amp;CHAR(9)&amp;CHAR(9)&amp;CHAR(9)&amp;"&lt;attack&gt;"&amp;BL57&amp;"|"&amp;BM57&amp;"|"&amp;BN57&amp;"&lt;/attack&gt;")&amp;CHAR(13)&amp;CHAR(9)&amp;CHAR(9)&amp;"&lt;/"&amp;BI57&amp;"&gt;")</f>
        <v/>
      </c>
      <c r="I57" s="3" t="str">
        <f>IF(ISBLANK(BO57),"",CHAR(13)&amp;CHAR(9)&amp;CHAR(9)&amp;"&lt;"&amp;BP57&amp;"&gt;"&amp;CHAR(13)&amp;CHAR(9)&amp;CHAR(9)&amp;CHAR(9)&amp;"&lt;name&gt;"&amp;BO57&amp;"&lt;/name&gt;"&amp;CHAR(13)&amp;CHAR(9)&amp;CHAR(9)&amp;CHAR(9)&amp;"&lt;text&gt;"&amp;BQ57&amp;"&lt;/text&gt;"&amp;IF(ISBLANK(BS57),"",CHAR(13)&amp;CHAR(9)&amp;CHAR(9)&amp;CHAR(9)&amp;"&lt;attack&gt;"&amp;BS57&amp;"|"&amp;BT57&amp;"|"&amp;BU57&amp;"&lt;/attack&gt;")&amp;CHAR(13)&amp;CHAR(9)&amp;CHAR(9)&amp;"&lt;/"&amp;BP57&amp;"&gt;")</f>
        <v/>
      </c>
      <c r="J57" s="3" t="str">
        <f>IF(ISBLANK(BV57),"",CHAR(13)&amp;CHAR(9)&amp;CHAR(9)&amp;"&lt;"&amp;BW57&amp;"&gt;"&amp;CHAR(13)&amp;CHAR(9)&amp;CHAR(9)&amp;CHAR(9)&amp;"&lt;name&gt;"&amp;BV57&amp;"&lt;/name&gt;"&amp;CHAR(13)&amp;CHAR(9)&amp;CHAR(9)&amp;CHAR(9)&amp;"&lt;text&gt;"&amp;BX57&amp;"&lt;/text&gt;"&amp;IF(ISBLANK(BZ57),"",CHAR(13)&amp;CHAR(9)&amp;CHAR(9)&amp;CHAR(9)&amp;"&lt;attack&gt;"&amp;BZ57&amp;"|"&amp;CA57&amp;"|"&amp;CB57&amp;"&lt;/attack&gt;")&amp;CHAR(13)&amp;CHAR(9)&amp;CHAR(9)&amp;"&lt;/"&amp;BW57&amp;"&gt;")</f>
        <v/>
      </c>
      <c r="K57" s="3" t="str">
        <f>IF(ISBLANK(CC57),"",CHAR(13)&amp;CHAR(9)&amp;CHAR(9)&amp;"&lt;"&amp;CD57&amp;"&gt;"&amp;CHAR(13)&amp;CHAR(9)&amp;CHAR(9)&amp;CHAR(9)&amp;"&lt;name&gt;"&amp;CC57&amp;"&lt;/name&gt;"&amp;CHAR(13)&amp;CHAR(9)&amp;CHAR(9)&amp;CHAR(9)&amp;"&lt;text&gt;"&amp;CE57&amp;"&lt;/text&gt;"&amp;IF(ISBLANK(CG57),"",CHAR(13)&amp;CHAR(9)&amp;CHAR(9)&amp;CHAR(9)&amp;"&lt;attack&gt;"&amp;CG57&amp;"|"&amp;CH57&amp;"|"&amp;CI57&amp;"&lt;/attack&gt;")&amp;CHAR(13)&amp;CHAR(9)&amp;CHAR(9)&amp;"&lt;/"&amp;CD57&amp;"&gt;")</f>
        <v/>
      </c>
      <c r="L57" s="1" t="s">
        <v>510</v>
      </c>
      <c r="M57" s="1" t="s">
        <v>275</v>
      </c>
      <c r="N57" s="1">
        <f>DruidAlignment</f>
        <v>0</v>
      </c>
      <c r="O57" s="5" t="s">
        <v>207</v>
      </c>
      <c r="P57" s="1" t="s">
        <v>17</v>
      </c>
      <c r="Q57" s="1">
        <v>13</v>
      </c>
      <c r="R57" s="1"/>
      <c r="S57" s="1">
        <v>9</v>
      </c>
      <c r="T57" s="1">
        <v>40</v>
      </c>
      <c r="Y57" s="1">
        <v>11</v>
      </c>
      <c r="Z57" s="1">
        <v>16</v>
      </c>
      <c r="AA57" s="1">
        <v>10</v>
      </c>
      <c r="AB57" s="10">
        <f>DruidInt</f>
        <v>0</v>
      </c>
      <c r="AC57" s="10">
        <f>DruidWis</f>
        <v>0</v>
      </c>
      <c r="AD57" s="10">
        <f>DruidCha</f>
        <v>0</v>
      </c>
      <c r="AE57" s="12"/>
      <c r="AF57" s="12"/>
      <c r="AG57" s="12">
        <v>5</v>
      </c>
      <c r="AH57" s="12" t="s">
        <v>173</v>
      </c>
      <c r="AI57" s="12" t="str">
        <f>IF(ISBLANK(DruidAcrobatics),"",", Acrobatics +"&amp;DruidAcrobatics)&amp;IF(ISBLANK(DruidAnimalHandling),"",", Animal Handling +"&amp;DruidAnimalHandling)&amp;IF(ISBLANK(DruidArcana),"",", Arcana +"&amp;DruidArcana)&amp;IF(DruidAthletics+AE57=0,"",", Athletics +"&amp;MAX(DruidAthletics,AE57))&amp;IF(ISBLANK(DruidDeception),"",",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+"&amp;DruidNature)&amp;IF(DruidPerception+AF57=0,"",", Perception +"&amp;MAX(DruidPerception,AF57))&amp;IF(ISBLANK(DruidPerformance),"",", Performance +"&amp;DruidPerformance)&amp;IF(ISBLANK(DruidPersuasion),"",", Persuasion +"&amp;DruidPersuasion)&amp;IF(ISBLANK(DruidReligion),"",", Religion +"&amp;DruidReligion)&amp;IF(ISBLANK(DruidSleightofHand),"",", Sleight of Hand +"&amp;DruidSleightofHand)&amp;IF(DruidStealth+AG57=0,"",", Stealth +"&amp;MAX(DruidStealth,AG57))&amp;IF(ISBLANK(DruidSurvival),"",", Survival +"&amp;DruidSurvival)</f>
        <v>, Stealth +5</v>
      </c>
      <c r="AJ57" s="1" t="str">
        <f>RIGHT(AI57,LEN(AI57)-2)</f>
        <v>Stealth +5</v>
      </c>
      <c r="AK5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7" s="1" t="s">
        <v>173</v>
      </c>
      <c r="AM57" s="3" t="s">
        <v>176</v>
      </c>
      <c r="AN57" s="3">
        <f>IF(DruidPerception+AF57=0,10+(ROUNDDOWN((AC57-10)/2,0)),10+MAX(DruidPerception,AF57))</f>
        <v>5</v>
      </c>
      <c r="AO57" s="1"/>
      <c r="AP57" s="1"/>
      <c r="AQ57" s="1"/>
      <c r="AR57" s="1"/>
      <c r="AS57" s="1"/>
      <c r="AT57" s="3" t="s">
        <v>28</v>
      </c>
      <c r="AU57" s="3" t="s">
        <v>148</v>
      </c>
      <c r="AV57" s="3" t="s">
        <v>338</v>
      </c>
      <c r="AW57" s="3" t="s">
        <v>173</v>
      </c>
      <c r="AZ57" s="3"/>
      <c r="BA57" s="3" t="s">
        <v>161</v>
      </c>
      <c r="BB57" s="3" t="s">
        <v>150</v>
      </c>
      <c r="BC57" s="3" t="s">
        <v>463</v>
      </c>
      <c r="BD57" s="3" t="s">
        <v>173</v>
      </c>
      <c r="BE57" s="3" t="s">
        <v>161</v>
      </c>
      <c r="BF57" s="3">
        <v>5</v>
      </c>
      <c r="BG57" s="3" t="s">
        <v>209</v>
      </c>
      <c r="BK57" s="3" t="s">
        <v>173</v>
      </c>
      <c r="BN57" s="3"/>
      <c r="BR57" s="3" t="s">
        <v>173</v>
      </c>
      <c r="BY57" s="3" t="s">
        <v>173</v>
      </c>
      <c r="CJ57" s="6">
        <v>0.125</v>
      </c>
      <c r="CK57" s="6">
        <f>IF(CJ57&lt;0.26,2,IF(CJ57&lt;0.51,4,IF(CJ57&lt;1.1,8,99)))</f>
        <v>2</v>
      </c>
      <c r="CL57" s="3">
        <f>IF(M57="Elemental",10,IF(CJ57&lt;2,2,CJ57*3))</f>
        <v>2</v>
      </c>
      <c r="CM57" s="3">
        <f>IF(W57&gt;0,8,0)</f>
        <v>0</v>
      </c>
      <c r="CN57" s="3">
        <f>IF(X57&gt;0,4,0)</f>
        <v>0</v>
      </c>
    </row>
    <row r="58" spans="1:92">
      <c r="A58" s="3" t="str">
        <f>IF(DruidLevel&lt;B58,"",CHAR(9)&amp;"&lt;monster&gt;"&amp;CHAR(13)&amp;CHAR(9)&amp;CHAR(9)&amp;"&lt;name&gt;"&amp;L58&amp;" (Wild Shape)&lt;/name&gt;"&amp;CHAR(13)&amp;CHAR(9)&amp;CHAR(9)&amp;"&lt;size&gt;"&amp;LEFT(P58,1)&amp;"&lt;/size&gt;"&amp;CHAR(13)&amp;CHAR(9)&amp;CHAR(9)&amp;"&lt;type&gt;"&amp;M58&amp;"&lt;/type&gt;"&amp;CHAR(13)&amp;CHAR(9)&amp;CHAR(9)&amp;"&lt;alignment&gt;"&amp;N58&amp;"&lt;/alignment&gt;"&amp;CHAR(13)&amp;CHAR(9)&amp;CHAR(9)&amp;"&lt;ac&gt;"&amp;Q58&amp;IF(ISBLANK(R58),""," ("&amp;R58&amp;")")&amp;"&lt;/ac&gt;"&amp;CHAR(13)&amp;CHAR(9)&amp;CHAR(9)&amp;"&lt;hp&gt;"&amp;S58&amp;"&lt;/hp&gt;"&amp;CHAR(13)&amp;CHAR(9)&amp;CHAR(9)&amp;"&lt;speed&gt;"&amp;E58&amp;"&lt;/speed&gt;"&amp;CHAR(13)&amp;CHAR(9)&amp;CHAR(9)&amp;"&lt;str&gt;"&amp;Y58&amp;"&lt;/str&gt;&lt;dex&gt;"&amp;Z58&amp;"&lt;/dex&gt;&lt;con&gt;"&amp;AA58&amp;"&lt;/con&gt;&lt;int&gt;"&amp;AB58&amp;"&lt;/int&gt;&lt;wis&gt;"&amp;AC58&amp;"&lt;/wis&gt;&lt;cha&gt;"&amp;AD58&amp;"&lt;/cha&gt;"&amp;CHAR(13)&amp;CHAR(9)&amp;CHAR(9)&amp;"&lt;save&gt;"&amp;AK58&amp;"&lt;/save&gt;"&amp;CHAR(13)&amp;CHAR(9)&amp;CHAR(9)&amp;"&lt;skill&gt;"&amp;AJ58&amp;"&lt;/skill&gt;"&amp;CHAR(13)&amp;CHAR(9)&amp;CHAR(9)&amp;"&lt;vulnerable&gt;"&amp;AO58&amp;"&lt;/vulnerable&gt;"&amp;CHAR(13)&amp;CHAR(9)&amp;CHAR(9)&amp;"&lt;resist&gt;"&amp;AP58&amp;"&lt;/resist&gt;"&amp;CHAR(13)&amp;CHAR(9)&amp;CHAR(9)&amp;"&lt;immune&gt;"&amp;AQ58&amp;"&lt;/immune&gt;"&amp;CHAR(13)&amp;CHAR(9)&amp;CHAR(9)&amp;"&lt;conditionImmune&gt;"&amp;AR58&amp;"&lt;/conditionImmune&gt;"&amp;CHAR(13)&amp;CHAR(9)&amp;CHAR(9)&amp;"&lt;senses&gt;"&amp;AM58&amp;"&lt;/senses&gt;"&amp;CHAR(13)&amp;CHAR(9)&amp;CHAR(9)&amp;"&lt;passive&gt;"&amp;AN58&amp;"&lt;/passive&gt;"&amp;CHAR(13)&amp;CHAR(9)&amp;CHAR(9)&amp;"&lt;languages&gt;"&amp;AS58&amp;"&lt;/languages&gt;"&amp;CHAR(13)&amp;CHAR(9)&amp;CHAR(9)&amp;"&lt;cr&gt;"&amp;O58&amp;"&lt;/cr&gt;"&amp;F58&amp;G58&amp;H58&amp;I58&amp;J58&amp;K58&amp;IF(C58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8" s="3">
        <f>IF(COTM=TRUE,MAX(CL58,CM58,CN58),MAX(CK58,CM58,CN58))</f>
        <v>2</v>
      </c>
      <c r="C58" s="11" t="str">
        <f>IF(COTM=FALSE,"",IF(DruidLevel&gt;5,"Y",""))</f>
        <v/>
      </c>
      <c r="D58" s="3" t="s">
        <v>173</v>
      </c>
      <c r="E58" s="3" t="str">
        <f>T58&amp;" ft."&amp;IF(U58+V58+W58+X58=0,"",", ")&amp;IF(ISBLANK(U58),"","burrow "&amp;U58&amp;" ft."&amp;IF(V58+W58+X58=0,"",", "))&amp;IF(ISBLANK(V58),"","climb "&amp;V58&amp;" ft."&amp;IF(W58+X58=0,"",", "))&amp;IF(ISBLANK(W58),"","fly "&amp;W58&amp;" ft."&amp;IF(X58=0,"",", "))&amp;IF(ISBLANK(X58),"","swim "&amp;X58&amp;" ft.")</f>
        <v>40 ft., climb 40 ft.</v>
      </c>
      <c r="F58" s="3" t="str">
        <f>IF(ISBLANK(AT58),"",CHAR(13)&amp;CHAR(9)&amp;CHAR(9)&amp;"&lt;"&amp;AU58&amp;"&gt;"&amp;CHAR(13)&amp;CHAR(9)&amp;CHAR(9)&amp;CHAR(9)&amp;"&lt;name&gt;"&amp;AT58&amp;"&lt;/name&gt;"&amp;CHAR(13)&amp;CHAR(9)&amp;CHAR(9)&amp;CHAR(9)&amp;"&lt;text&gt;"&amp;AV58&amp;"&lt;/text&gt;"&amp;IF(ISBLANK(AX58),"",CHAR(13)&amp;CHAR(9)&amp;CHAR(9)&amp;CHAR(9)&amp;"&lt;attack&gt;"&amp;AX58&amp;"|"&amp;AY58&amp;"|"&amp;AZ58&amp;"&lt;/attack&gt;")&amp;CHAR(13)&amp;CHAR(9)&amp;CHAR(9)&amp;"&lt;/"&amp;AU58&amp;"&gt;")</f>
        <v>_x000D_		&lt;trait&gt;_x000D_			&lt;name&gt;Spider Climb&lt;/name&gt;_x000D_			&lt;text&gt;The spider can climb difficult surfaces, including upside down on ceilings, without needing to make an ability check.&lt;/text&gt;_x000D_		&lt;/trait&gt;</v>
      </c>
      <c r="G58" s="3" t="str">
        <f>IF(ISBLANK(BA58),"",CHAR(13)&amp;CHAR(9)&amp;CHAR(9)&amp;"&lt;"&amp;BB58&amp;"&gt;"&amp;CHAR(13)&amp;CHAR(9)&amp;CHAR(9)&amp;CHAR(9)&amp;"&lt;name&gt;"&amp;BA58&amp;"&lt;/name&gt;"&amp;CHAR(13)&amp;CHAR(9)&amp;CHAR(9)&amp;CHAR(9)&amp;"&lt;text&gt;"&amp;BC58&amp;"&lt;/text&gt;"&amp;IF(ISBLANK(BE58),"",CHAR(13)&amp;CHAR(9)&amp;CHAR(9)&amp;CHAR(9)&amp;"&lt;attack&gt;"&amp;BE58&amp;"|"&amp;BF58&amp;"|"&amp;BG58&amp;"&lt;/attack&gt;")&amp;CHAR(13)&amp;CHAR(9)&amp;CHAR(9)&amp;"&lt;/"&amp;BB58&amp;"&gt;")</f>
        <v>_x000D_		&lt;trait&gt;_x000D_			&lt;name&gt;Web Sense&lt;/name&gt;_x000D_			&lt;text&gt;While in contact with a web, the spider knows the exact location of any other creature in contact with the same web.&lt;/text&gt;_x000D_		&lt;/trait&gt;</v>
      </c>
      <c r="H58" s="3" t="str">
        <f>IF(ISBLANK(BH58),"",CHAR(13)&amp;CHAR(9)&amp;CHAR(9)&amp;"&lt;"&amp;BI58&amp;"&gt;"&amp;CHAR(13)&amp;CHAR(9)&amp;CHAR(9)&amp;CHAR(9)&amp;"&lt;name&gt;"&amp;BH58&amp;"&lt;/name&gt;"&amp;CHAR(13)&amp;CHAR(9)&amp;CHAR(9)&amp;CHAR(9)&amp;"&lt;text&gt;"&amp;BJ58&amp;"&lt;/text&gt;"&amp;IF(ISBLANK(BL58),"",CHAR(13)&amp;CHAR(9)&amp;CHAR(9)&amp;CHAR(9)&amp;"&lt;attack&gt;"&amp;BL58&amp;"|"&amp;BM58&amp;"|"&amp;BN58&amp;"&lt;/attack&gt;")&amp;CHAR(13)&amp;CHAR(9)&amp;CHAR(9)&amp;"&lt;/"&amp;BI58&amp;"&gt;")</f>
        <v>_x000D_		&lt;trait&gt;_x000D_			&lt;name&gt;Web Walker&lt;/name&gt;_x000D_			&lt;text&gt;The spider ignores movement restrictions caused by webbing.&lt;/text&gt;_x000D_		&lt;/trait&gt;</v>
      </c>
      <c r="I58" s="3" t="str">
        <f>IF(ISBLANK(BO58),"",CHAR(13)&amp;CHAR(9)&amp;CHAR(9)&amp;"&lt;"&amp;BP58&amp;"&gt;"&amp;CHAR(13)&amp;CHAR(9)&amp;CHAR(9)&amp;CHAR(9)&amp;"&lt;name&gt;"&amp;BO58&amp;"&lt;/name&gt;"&amp;CHAR(13)&amp;CHAR(9)&amp;CHAR(9)&amp;CHAR(9)&amp;"&lt;text&gt;"&amp;BQ58&amp;"&lt;/text&gt;"&amp;IF(ISBLANK(BS58),"",CHAR(13)&amp;CHAR(9)&amp;CHAR(9)&amp;CHAR(9)&amp;"&lt;attack&gt;"&amp;BS58&amp;"|"&amp;BT58&amp;"|"&amp;BU58&amp;"&lt;/attack&gt;")&amp;CHAR(13)&amp;CHAR(9)&amp;CHAR(9)&amp;"&lt;/"&amp;BP58&amp;"&gt;")</f>
        <v>_x000D_		&lt;action&gt;_x000D_			&lt;name&gt;Bite&lt;/name&gt;_x000D_			&lt;text&gt;Weapon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way.&lt;/text&gt;_x000D_			&lt;attack&gt;Bite|3|1d6+1&lt;/attack&gt;_x000D_		&lt;/action&gt;</v>
      </c>
      <c r="J58" s="3" t="str">
        <f>IF(ISBLANK(BV58),"",CHAR(13)&amp;CHAR(9)&amp;CHAR(9)&amp;"&lt;"&amp;BW58&amp;"&gt;"&amp;CHAR(13)&amp;CHAR(9)&amp;CHAR(9)&amp;CHAR(9)&amp;"&lt;name&gt;"&amp;BV58&amp;"&lt;/name&gt;"&amp;CHAR(13)&amp;CHAR(9)&amp;CHAR(9)&amp;CHAR(9)&amp;"&lt;text&gt;"&amp;BX58&amp;"&lt;/text&gt;"&amp;IF(ISBLANK(BZ58),"",CHAR(13)&amp;CHAR(9)&amp;CHAR(9)&amp;CHAR(9)&amp;"&lt;attack&gt;"&amp;BZ58&amp;"|"&amp;CA58&amp;"|"&amp;CB58&amp;"&lt;/attack&gt;")&amp;CHAR(13)&amp;CHAR(9)&amp;CHAR(9)&amp;"&lt;/"&amp;BW58&amp;"&gt;")</f>
        <v/>
      </c>
      <c r="K58" s="3" t="str">
        <f>IF(ISBLANK(CC58),"",CHAR(13)&amp;CHAR(9)&amp;CHAR(9)&amp;"&lt;"&amp;CD58&amp;"&gt;"&amp;CHAR(13)&amp;CHAR(9)&amp;CHAR(9)&amp;CHAR(9)&amp;"&lt;name&gt;"&amp;CC58&amp;"&lt;/name&gt;"&amp;CHAR(13)&amp;CHAR(9)&amp;CHAR(9)&amp;CHAR(9)&amp;"&lt;text&gt;"&amp;CE58&amp;"&lt;/text&gt;"&amp;IF(ISBLANK(CG58),"",CHAR(13)&amp;CHAR(9)&amp;CHAR(9)&amp;CHAR(9)&amp;"&lt;attack&gt;"&amp;CG58&amp;"|"&amp;CH58&amp;"|"&amp;CI58&amp;"&lt;/attack&gt;")&amp;CHAR(13)&amp;CHAR(9)&amp;CHAR(9)&amp;"&lt;/"&amp;CD58&amp;"&gt;")</f>
        <v/>
      </c>
      <c r="L58" s="1" t="s">
        <v>42</v>
      </c>
      <c r="M58" s="1" t="s">
        <v>275</v>
      </c>
      <c r="N58" s="1">
        <f>DruidAlignment</f>
        <v>0</v>
      </c>
      <c r="O58" s="2" t="s">
        <v>208</v>
      </c>
      <c r="P58" s="1" t="s">
        <v>17</v>
      </c>
      <c r="Q58" s="1">
        <v>13</v>
      </c>
      <c r="R58" s="1"/>
      <c r="S58" s="1">
        <v>11</v>
      </c>
      <c r="T58" s="1">
        <v>40</v>
      </c>
      <c r="V58" s="1">
        <v>40</v>
      </c>
      <c r="Y58" s="1">
        <v>12</v>
      </c>
      <c r="Z58" s="1">
        <v>16</v>
      </c>
      <c r="AA58" s="1">
        <v>13</v>
      </c>
      <c r="AB58" s="10">
        <f>DruidInt</f>
        <v>0</v>
      </c>
      <c r="AC58" s="10">
        <f>DruidWis</f>
        <v>0</v>
      </c>
      <c r="AD58" s="10">
        <f>DruidCha</f>
        <v>0</v>
      </c>
      <c r="AE58" s="12"/>
      <c r="AF58" s="12"/>
      <c r="AG58" s="12">
        <v>7</v>
      </c>
      <c r="AH58" s="12" t="s">
        <v>173</v>
      </c>
      <c r="AI58" s="12" t="str">
        <f>IF(ISBLANK(DruidAcrobatics),"",", Acrobatics +"&amp;DruidAcrobatics)&amp;IF(ISBLANK(DruidAnimalHandling),"",", Animal Handling +"&amp;DruidAnimalHandling)&amp;IF(ISBLANK(DruidArcana),"",", Arcana +"&amp;DruidArcana)&amp;IF(DruidAthletics+AE58=0,"",", Athletics +"&amp;MAX(DruidAthletics,AE58))&amp;IF(ISBLANK(DruidDeception),"",",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+"&amp;DruidNature)&amp;IF(DruidPerception+AF58=0,"",", Perception +"&amp;MAX(DruidPerception,AF58))&amp;IF(ISBLANK(DruidPerformance),"",", Performance +"&amp;DruidPerformance)&amp;IF(ISBLANK(DruidPersuasion),"",", Persuasion +"&amp;DruidPersuasion)&amp;IF(ISBLANK(DruidReligion),"",", Religion +"&amp;DruidReligion)&amp;IF(ISBLANK(DruidSleightofHand),"",", Sleight of Hand +"&amp;DruidSleightofHand)&amp;IF(DruidStealth+AG58=0,"",", Stealth +"&amp;MAX(DruidStealth,AG58))&amp;IF(ISBLANK(DruidSurvival),"",", Survival +"&amp;DruidSurvival)</f>
        <v>, Stealth +7</v>
      </c>
      <c r="AJ58" s="1" t="str">
        <f>RIGHT(AI58,LEN(AI58)-2)</f>
        <v>Stealth +7</v>
      </c>
      <c r="AK5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8" s="1" t="s">
        <v>173</v>
      </c>
      <c r="AM58" s="1" t="s">
        <v>183</v>
      </c>
      <c r="AN58" s="3">
        <f>IF(DruidPerception+AF58=0,10+(ROUNDDOWN((AC58-10)/2,0)),10+MAX(DruidPerception,AF58))</f>
        <v>5</v>
      </c>
      <c r="AO58" s="1"/>
      <c r="AP58" s="1"/>
      <c r="AQ58" s="1"/>
      <c r="AR58" s="1"/>
      <c r="AS58" s="1"/>
      <c r="AT58" s="3" t="s">
        <v>323</v>
      </c>
      <c r="AU58" s="3" t="s">
        <v>148</v>
      </c>
      <c r="AV58" s="3" t="s">
        <v>324</v>
      </c>
      <c r="AW58" s="3" t="s">
        <v>173</v>
      </c>
      <c r="AZ58" s="3"/>
      <c r="BA58" s="3" t="s">
        <v>325</v>
      </c>
      <c r="BB58" s="3" t="s">
        <v>148</v>
      </c>
      <c r="BC58" s="3" t="s">
        <v>326</v>
      </c>
      <c r="BD58" s="3" t="s">
        <v>173</v>
      </c>
      <c r="BG58" s="3"/>
      <c r="BH58" s="3" t="s">
        <v>327</v>
      </c>
      <c r="BI58" s="3" t="s">
        <v>148</v>
      </c>
      <c r="BJ58" s="3" t="s">
        <v>328</v>
      </c>
      <c r="BK58" s="3" t="s">
        <v>173</v>
      </c>
      <c r="BN58" s="3"/>
      <c r="BO58" s="3" t="s">
        <v>161</v>
      </c>
      <c r="BP58" s="3" t="s">
        <v>150</v>
      </c>
      <c r="BQ58" s="3" t="s">
        <v>464</v>
      </c>
      <c r="BR58" s="3" t="s">
        <v>173</v>
      </c>
      <c r="BS58" s="3" t="s">
        <v>161</v>
      </c>
      <c r="BT58" s="3">
        <v>3</v>
      </c>
      <c r="BU58" s="3" t="s">
        <v>227</v>
      </c>
      <c r="BY58" s="3" t="s">
        <v>173</v>
      </c>
      <c r="CJ58" s="6">
        <v>0.25</v>
      </c>
      <c r="CK58" s="6">
        <f>IF(CJ58&lt;0.26,2,IF(CJ58&lt;0.51,4,IF(CJ58&lt;1.1,8,99)))</f>
        <v>2</v>
      </c>
      <c r="CL58" s="3">
        <f>IF(M58="Elemental",10,IF(CJ58&lt;2,2,CJ58*3))</f>
        <v>2</v>
      </c>
      <c r="CM58" s="3">
        <f>IF(W58&gt;0,8,0)</f>
        <v>0</v>
      </c>
      <c r="CN58" s="3">
        <f>IF(X58&gt;0,4,0)</f>
        <v>0</v>
      </c>
    </row>
    <row r="59" spans="1:92">
      <c r="A59" s="3" t="str">
        <f>IF(DruidLevel&lt;B59,"",CHAR(9)&amp;"&lt;monster&gt;"&amp;CHAR(13)&amp;CHAR(9)&amp;CHAR(9)&amp;"&lt;name&gt;"&amp;L59&amp;" (Wild Shape)&lt;/name&gt;"&amp;CHAR(13)&amp;CHAR(9)&amp;CHAR(9)&amp;"&lt;size&gt;"&amp;LEFT(P59,1)&amp;"&lt;/size&gt;"&amp;CHAR(13)&amp;CHAR(9)&amp;CHAR(9)&amp;"&lt;type&gt;"&amp;M59&amp;"&lt;/type&gt;"&amp;CHAR(13)&amp;CHAR(9)&amp;CHAR(9)&amp;"&lt;alignment&gt;"&amp;N59&amp;"&lt;/alignment&gt;"&amp;CHAR(13)&amp;CHAR(9)&amp;CHAR(9)&amp;"&lt;ac&gt;"&amp;Q59&amp;IF(ISBLANK(R59),""," ("&amp;R59&amp;")")&amp;"&lt;/ac&gt;"&amp;CHAR(13)&amp;CHAR(9)&amp;CHAR(9)&amp;"&lt;hp&gt;"&amp;S59&amp;"&lt;/hp&gt;"&amp;CHAR(13)&amp;CHAR(9)&amp;CHAR(9)&amp;"&lt;speed&gt;"&amp;E59&amp;"&lt;/speed&gt;"&amp;CHAR(13)&amp;CHAR(9)&amp;CHAR(9)&amp;"&lt;str&gt;"&amp;Y59&amp;"&lt;/str&gt;&lt;dex&gt;"&amp;Z59&amp;"&lt;/dex&gt;&lt;con&gt;"&amp;AA59&amp;"&lt;/con&gt;&lt;int&gt;"&amp;AB59&amp;"&lt;/int&gt;&lt;wis&gt;"&amp;AC59&amp;"&lt;/wis&gt;&lt;cha&gt;"&amp;AD59&amp;"&lt;/cha&gt;"&amp;CHAR(13)&amp;CHAR(9)&amp;CHAR(9)&amp;"&lt;save&gt;"&amp;AK59&amp;"&lt;/save&gt;"&amp;CHAR(13)&amp;CHAR(9)&amp;CHAR(9)&amp;"&lt;skill&gt;"&amp;AJ59&amp;"&lt;/skill&gt;"&amp;CHAR(13)&amp;CHAR(9)&amp;CHAR(9)&amp;"&lt;vulnerable&gt;"&amp;AO59&amp;"&lt;/vulnerable&gt;"&amp;CHAR(13)&amp;CHAR(9)&amp;CHAR(9)&amp;"&lt;resist&gt;"&amp;AP59&amp;"&lt;/resist&gt;"&amp;CHAR(13)&amp;CHAR(9)&amp;CHAR(9)&amp;"&lt;immune&gt;"&amp;AQ59&amp;"&lt;/immune&gt;"&amp;CHAR(13)&amp;CHAR(9)&amp;CHAR(9)&amp;"&lt;conditionImmune&gt;"&amp;AR59&amp;"&lt;/conditionImmune&gt;"&amp;CHAR(13)&amp;CHAR(9)&amp;CHAR(9)&amp;"&lt;senses&gt;"&amp;AM59&amp;"&lt;/senses&gt;"&amp;CHAR(13)&amp;CHAR(9)&amp;CHAR(9)&amp;"&lt;passive&gt;"&amp;AN59&amp;"&lt;/passive&gt;"&amp;CHAR(13)&amp;CHAR(9)&amp;CHAR(9)&amp;"&lt;languages&gt;"&amp;AS59&amp;"&lt;/languages&gt;"&amp;CHAR(13)&amp;CHAR(9)&amp;CHAR(9)&amp;"&lt;cr&gt;"&amp;O59&amp;"&lt;/cr&gt;"&amp;F59&amp;G59&amp;H59&amp;I59&amp;J59&amp;K59&amp;IF(C59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59" s="3">
        <f>IF(COTM=TRUE,MAX(CL59,CM59,CN59),MAX(CK59,CM59,CN59))</f>
        <v>2</v>
      </c>
      <c r="C59" s="11" t="str">
        <f>IF(COTM=FALSE,"",IF(DruidLevel&gt;5,"Y",""))</f>
        <v/>
      </c>
      <c r="D59" s="3" t="s">
        <v>173</v>
      </c>
      <c r="E59" s="3" t="str">
        <f>T59&amp;" ft."&amp;IF(U59+V59+W59+X59=0,"",", ")&amp;IF(ISBLANK(U59),"","burrow "&amp;U59&amp;" ft."&amp;IF(V59+W59+X59=0,"",", "))&amp;IF(ISBLANK(V59),"","climb "&amp;V59&amp;" ft."&amp;IF(W59+X59=0,"",", "))&amp;IF(ISBLANK(W59),"","fly "&amp;W59&amp;" ft."&amp;IF(X59=0,"",", "))&amp;IF(ISBLANK(X59),"","swim "&amp;X59&amp;" ft.")</f>
        <v>40 ft.</v>
      </c>
      <c r="F59" s="3" t="str">
        <f>IF(ISBLANK(AT59),"",CHAR(13)&amp;CHAR(9)&amp;CHAR(9)&amp;"&lt;"&amp;AU59&amp;"&gt;"&amp;CHAR(13)&amp;CHAR(9)&amp;CHAR(9)&amp;CHAR(9)&amp;"&lt;name&gt;"&amp;AT59&amp;"&lt;/name&gt;"&amp;CHAR(13)&amp;CHAR(9)&amp;CHAR(9)&amp;CHAR(9)&amp;"&lt;text&gt;"&amp;AV59&amp;"&lt;/text&gt;"&amp;IF(ISBLANK(AX59),"",CHAR(13)&amp;CHAR(9)&amp;CHAR(9)&amp;CHAR(9)&amp;"&lt;attack&gt;"&amp;AX59&amp;"|"&amp;AY59&amp;"|"&amp;AZ59&amp;"&lt;/attack&gt;")&amp;CHAR(13)&amp;CHAR(9)&amp;CHAR(9)&amp;"&lt;/"&amp;AU59&amp;"&gt;")</f>
        <v>_x000D_		&lt;trait&gt;_x000D_			&lt;name&gt;Charge&lt;/name&gt;_x000D_			&lt;text&gt;If the goat moves at least 20 feet straight toward a target and then hits it with a ram attack on the same turn, the target takes an extra 2 (1d4) bludgeoning damage. If the target is a creature, it must succeed on a DC 10 Strength saving throw or be knocked prone.&lt;/text&gt;_x000D_		&lt;/trait&gt;</v>
      </c>
      <c r="G59" s="3" t="str">
        <f>IF(ISBLANK(BA59),"",CHAR(13)&amp;CHAR(9)&amp;CHAR(9)&amp;"&lt;"&amp;BB59&amp;"&gt;"&amp;CHAR(13)&amp;CHAR(9)&amp;CHAR(9)&amp;CHAR(9)&amp;"&lt;name&gt;"&amp;BA59&amp;"&lt;/name&gt;"&amp;CHAR(13)&amp;CHAR(9)&amp;CHAR(9)&amp;CHAR(9)&amp;"&lt;text&gt;"&amp;BC59&amp;"&lt;/text&gt;"&amp;IF(ISBLANK(BE59),"",CHAR(13)&amp;CHAR(9)&amp;CHAR(9)&amp;CHAR(9)&amp;"&lt;attack&gt;"&amp;BE59&amp;"|"&amp;BF59&amp;"|"&amp;BG59&amp;"&lt;/attack&gt;")&amp;CHAR(13)&amp;CHAR(9)&amp;CHAR(9)&amp;"&lt;/"&amp;BB59&amp;"&gt;")</f>
        <v>_x000D_		&lt;trait&gt;_x000D_			&lt;name&gt;Sure-Footed&lt;/name&gt;_x000D_			&lt;text&gt;The goat has advantage on Strength and Dexterity saving throws made against effects that would knock it prone.&lt;/text&gt;_x000D_		&lt;/trait&gt;</v>
      </c>
      <c r="H59" s="3" t="str">
        <f>IF(ISBLANK(BH59),"",CHAR(13)&amp;CHAR(9)&amp;CHAR(9)&amp;"&lt;"&amp;BI59&amp;"&gt;"&amp;CHAR(13)&amp;CHAR(9)&amp;CHAR(9)&amp;CHAR(9)&amp;"&lt;name&gt;"&amp;BH59&amp;"&lt;/name&gt;"&amp;CHAR(13)&amp;CHAR(9)&amp;CHAR(9)&amp;CHAR(9)&amp;"&lt;text&gt;"&amp;BJ59&amp;"&lt;/text&gt;"&amp;IF(ISBLANK(BL59),"",CHAR(13)&amp;CHAR(9)&amp;CHAR(9)&amp;CHAR(9)&amp;"&lt;attack&gt;"&amp;BL59&amp;"|"&amp;BM59&amp;"|"&amp;BN59&amp;"&lt;/attack&gt;")&amp;CHAR(13)&amp;CHAR(9)&amp;CHAR(9)&amp;"&lt;/"&amp;BI59&amp;"&gt;")</f>
        <v>_x000D_		&lt;action&gt;_x000D_			&lt;name&gt;Ram&lt;/name&gt;_x000D_			&lt;text&gt;Melee Weapon Attack: +3 to hit, reach 5 ft., one target. Hit: 3 (1d4+1) bludgeoning damage.&lt;/text&gt;_x000D_			&lt;attack&gt;Ram|3|1d4+1&lt;/attack&gt;_x000D_		&lt;/action&gt;</v>
      </c>
      <c r="I59" s="3" t="str">
        <f>IF(ISBLANK(BO59),"",CHAR(13)&amp;CHAR(9)&amp;CHAR(9)&amp;"&lt;"&amp;BP59&amp;"&gt;"&amp;CHAR(13)&amp;CHAR(9)&amp;CHAR(9)&amp;CHAR(9)&amp;"&lt;name&gt;"&amp;BO59&amp;"&lt;/name&gt;"&amp;CHAR(13)&amp;CHAR(9)&amp;CHAR(9)&amp;CHAR(9)&amp;"&lt;text&gt;"&amp;BQ59&amp;"&lt;/text&gt;"&amp;IF(ISBLANK(BS59),"",CHAR(13)&amp;CHAR(9)&amp;CHAR(9)&amp;CHAR(9)&amp;"&lt;attack&gt;"&amp;BS59&amp;"|"&amp;BT59&amp;"|"&amp;BU59&amp;"&lt;/attack&gt;")&amp;CHAR(13)&amp;CHAR(9)&amp;CHAR(9)&amp;"&lt;/"&amp;BP59&amp;"&gt;")</f>
        <v/>
      </c>
      <c r="J59" s="3" t="str">
        <f>IF(ISBLANK(BV59),"",CHAR(13)&amp;CHAR(9)&amp;CHAR(9)&amp;"&lt;"&amp;BW59&amp;"&gt;"&amp;CHAR(13)&amp;CHAR(9)&amp;CHAR(9)&amp;CHAR(9)&amp;"&lt;name&gt;"&amp;BV59&amp;"&lt;/name&gt;"&amp;CHAR(13)&amp;CHAR(9)&amp;CHAR(9)&amp;CHAR(9)&amp;"&lt;text&gt;"&amp;BX59&amp;"&lt;/text&gt;"&amp;IF(ISBLANK(BZ59),"",CHAR(13)&amp;CHAR(9)&amp;CHAR(9)&amp;CHAR(9)&amp;"&lt;attack&gt;"&amp;BZ59&amp;"|"&amp;CA59&amp;"|"&amp;CB59&amp;"&lt;/attack&gt;")&amp;CHAR(13)&amp;CHAR(9)&amp;CHAR(9)&amp;"&lt;/"&amp;BW59&amp;"&gt;")</f>
        <v/>
      </c>
      <c r="K59" s="3" t="str">
        <f>IF(ISBLANK(CC59),"",CHAR(13)&amp;CHAR(9)&amp;CHAR(9)&amp;"&lt;"&amp;CD59&amp;"&gt;"&amp;CHAR(13)&amp;CHAR(9)&amp;CHAR(9)&amp;CHAR(9)&amp;"&lt;name&gt;"&amp;CC59&amp;"&lt;/name&gt;"&amp;CHAR(13)&amp;CHAR(9)&amp;CHAR(9)&amp;CHAR(9)&amp;"&lt;text&gt;"&amp;CE59&amp;"&lt;/text&gt;"&amp;IF(ISBLANK(CG59),"",CHAR(13)&amp;CHAR(9)&amp;CHAR(9)&amp;CHAR(9)&amp;"&lt;attack&gt;"&amp;CG59&amp;"|"&amp;CH59&amp;"|"&amp;CI59&amp;"&lt;/attack&gt;")&amp;CHAR(13)&amp;CHAR(9)&amp;CHAR(9)&amp;"&lt;/"&amp;CD59&amp;"&gt;")</f>
        <v/>
      </c>
      <c r="L59" s="1" t="s">
        <v>20</v>
      </c>
      <c r="M59" s="1" t="s">
        <v>275</v>
      </c>
      <c r="N59" s="1">
        <f>DruidAlignment</f>
        <v>0</v>
      </c>
      <c r="O59" s="2">
        <v>0</v>
      </c>
      <c r="P59" s="1" t="s">
        <v>17</v>
      </c>
      <c r="Q59" s="1">
        <v>10</v>
      </c>
      <c r="R59" s="1"/>
      <c r="S59" s="1">
        <v>4</v>
      </c>
      <c r="T59" s="1">
        <v>40</v>
      </c>
      <c r="Y59" s="1">
        <v>12</v>
      </c>
      <c r="Z59" s="1">
        <v>10</v>
      </c>
      <c r="AA59" s="1">
        <v>11</v>
      </c>
      <c r="AB59" s="10">
        <f>DruidInt</f>
        <v>0</v>
      </c>
      <c r="AC59" s="10">
        <f>DruidWis</f>
        <v>0</v>
      </c>
      <c r="AD59" s="10">
        <f>DruidCha</f>
        <v>0</v>
      </c>
      <c r="AE59" s="12"/>
      <c r="AF59" s="12">
        <v>1</v>
      </c>
      <c r="AG59" s="12"/>
      <c r="AH59" s="12" t="s">
        <v>173</v>
      </c>
      <c r="AI59" s="12" t="str">
        <f>IF(ISBLANK(DruidAcrobatics),"",", Acrobatics +"&amp;DruidAcrobatics)&amp;IF(ISBLANK(DruidAnimalHandling),"",", Animal Handling +"&amp;DruidAnimalHandling)&amp;IF(ISBLANK(DruidArcana),"",", Arcana +"&amp;DruidArcana)&amp;IF(DruidAthletics+AE59=0,"",", Athletics +"&amp;MAX(DruidAthletics,AE59))&amp;IF(ISBLANK(DruidDeception),"",",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+"&amp;DruidNature)&amp;IF(DruidPerception+AF59=0,"",", Perception +"&amp;MAX(DruidPerception,AF59))&amp;IF(ISBLANK(DruidPerformance),"",", Performance +"&amp;DruidPerformance)&amp;IF(ISBLANK(DruidPersuasion),"",", Persuasion +"&amp;DruidPersuasion)&amp;IF(ISBLANK(DruidReligion),"",", Religion +"&amp;DruidReligion)&amp;IF(ISBLANK(DruidSleightofHand),"",", Sleight of Hand +"&amp;DruidSleightofHand)&amp;IF(DruidStealth+AG59=0,"",", Stealth +"&amp;MAX(DruidStealth,AG59))&amp;IF(ISBLANK(DruidSurvival),"",", Survival +"&amp;DruidSurvival)</f>
        <v>, Perception +1</v>
      </c>
      <c r="AJ59" s="1" t="str">
        <f>RIGHT(AI59,LEN(AI59)-2)</f>
        <v>Perception +1</v>
      </c>
      <c r="AK5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59" s="1" t="s">
        <v>173</v>
      </c>
      <c r="AN59" s="3">
        <f>IF(DruidPerception+AF59=0,10+(ROUNDDOWN((AC59-10)/2,0)),10+MAX(DruidPerception,AF59))</f>
        <v>11</v>
      </c>
      <c r="AT59" s="3" t="s">
        <v>38</v>
      </c>
      <c r="AU59" s="3" t="s">
        <v>148</v>
      </c>
      <c r="AV59" s="3" t="s">
        <v>339</v>
      </c>
      <c r="AW59" s="3" t="s">
        <v>173</v>
      </c>
      <c r="AZ59" s="3"/>
      <c r="BA59" s="3" t="s">
        <v>300</v>
      </c>
      <c r="BB59" s="3" t="s">
        <v>148</v>
      </c>
      <c r="BC59" s="3" t="s">
        <v>301</v>
      </c>
      <c r="BD59" s="3" t="s">
        <v>173</v>
      </c>
      <c r="BG59" s="3"/>
      <c r="BH59" s="3" t="s">
        <v>252</v>
      </c>
      <c r="BI59" s="3" t="s">
        <v>150</v>
      </c>
      <c r="BJ59" s="3" t="s">
        <v>465</v>
      </c>
      <c r="BK59" s="3" t="s">
        <v>173</v>
      </c>
      <c r="BL59" s="3" t="s">
        <v>252</v>
      </c>
      <c r="BM59" s="3">
        <v>3</v>
      </c>
      <c r="BN59" s="3" t="s">
        <v>340</v>
      </c>
      <c r="BR59" s="3" t="s">
        <v>173</v>
      </c>
      <c r="BY59" s="3" t="s">
        <v>173</v>
      </c>
      <c r="CJ59" s="6">
        <v>0</v>
      </c>
      <c r="CK59" s="6">
        <f>IF(CJ59&lt;0.26,2,IF(CJ59&lt;0.51,4,IF(CJ59&lt;1.1,8,99)))</f>
        <v>2</v>
      </c>
      <c r="CL59" s="3">
        <f>IF(M59="Elemental",10,IF(CJ59&lt;2,2,CJ59*3))</f>
        <v>2</v>
      </c>
      <c r="CM59" s="3">
        <f>IF(W59&gt;0,8,0)</f>
        <v>0</v>
      </c>
      <c r="CN59" s="3">
        <f>IF(X59&gt;0,4,0)</f>
        <v>0</v>
      </c>
    </row>
    <row r="60" spans="1:92">
      <c r="A60" s="3" t="str">
        <f>IF(DruidLevel&lt;B60,"",CHAR(9)&amp;"&lt;monster&gt;"&amp;CHAR(13)&amp;CHAR(9)&amp;CHAR(9)&amp;"&lt;name&gt;"&amp;L60&amp;" (Wild Shape)&lt;/name&gt;"&amp;CHAR(13)&amp;CHAR(9)&amp;CHAR(9)&amp;"&lt;size&gt;"&amp;LEFT(P60,1)&amp;"&lt;/size&gt;"&amp;CHAR(13)&amp;CHAR(9)&amp;CHAR(9)&amp;"&lt;type&gt;"&amp;M60&amp;"&lt;/type&gt;"&amp;CHAR(13)&amp;CHAR(9)&amp;CHAR(9)&amp;"&lt;alignment&gt;"&amp;N60&amp;"&lt;/alignment&gt;"&amp;CHAR(13)&amp;CHAR(9)&amp;CHAR(9)&amp;"&lt;ac&gt;"&amp;Q60&amp;IF(ISBLANK(R60),""," ("&amp;R60&amp;")")&amp;"&lt;/ac&gt;"&amp;CHAR(13)&amp;CHAR(9)&amp;CHAR(9)&amp;"&lt;hp&gt;"&amp;S60&amp;"&lt;/hp&gt;"&amp;CHAR(13)&amp;CHAR(9)&amp;CHAR(9)&amp;"&lt;speed&gt;"&amp;E60&amp;"&lt;/speed&gt;"&amp;CHAR(13)&amp;CHAR(9)&amp;CHAR(9)&amp;"&lt;str&gt;"&amp;Y60&amp;"&lt;/str&gt;&lt;dex&gt;"&amp;Z60&amp;"&lt;/dex&gt;&lt;con&gt;"&amp;AA60&amp;"&lt;/con&gt;&lt;int&gt;"&amp;AB60&amp;"&lt;/int&gt;&lt;wis&gt;"&amp;AC60&amp;"&lt;/wis&gt;&lt;cha&gt;"&amp;AD60&amp;"&lt;/cha&gt;"&amp;CHAR(13)&amp;CHAR(9)&amp;CHAR(9)&amp;"&lt;save&gt;"&amp;AK60&amp;"&lt;/save&gt;"&amp;CHAR(13)&amp;CHAR(9)&amp;CHAR(9)&amp;"&lt;skill&gt;"&amp;AJ60&amp;"&lt;/skill&gt;"&amp;CHAR(13)&amp;CHAR(9)&amp;CHAR(9)&amp;"&lt;vulnerable&gt;"&amp;AO60&amp;"&lt;/vulnerable&gt;"&amp;CHAR(13)&amp;CHAR(9)&amp;CHAR(9)&amp;"&lt;resist&gt;"&amp;AP60&amp;"&lt;/resist&gt;"&amp;CHAR(13)&amp;CHAR(9)&amp;CHAR(9)&amp;"&lt;immune&gt;"&amp;AQ60&amp;"&lt;/immune&gt;"&amp;CHAR(13)&amp;CHAR(9)&amp;CHAR(9)&amp;"&lt;conditionImmune&gt;"&amp;AR60&amp;"&lt;/conditionImmune&gt;"&amp;CHAR(13)&amp;CHAR(9)&amp;CHAR(9)&amp;"&lt;senses&gt;"&amp;AM60&amp;"&lt;/senses&gt;"&amp;CHAR(13)&amp;CHAR(9)&amp;CHAR(9)&amp;"&lt;passive&gt;"&amp;AN60&amp;"&lt;/passive&gt;"&amp;CHAR(13)&amp;CHAR(9)&amp;CHAR(9)&amp;"&lt;languages&gt;"&amp;AS60&amp;"&lt;/languages&gt;"&amp;CHAR(13)&amp;CHAR(9)&amp;CHAR(9)&amp;"&lt;cr&gt;"&amp;O60&amp;"&lt;/cr&gt;"&amp;F60&amp;G60&amp;H60&amp;I60&amp;J60&amp;K60&amp;IF(C60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0" s="3">
        <f>IF(COTM=TRUE,MAX(CL60,CM60,CN60),MAX(CK60,CM60,CN60))</f>
        <v>8</v>
      </c>
      <c r="C60" s="11" t="str">
        <f>IF(COTM=FALSE,"",IF(DruidLevel&gt;5,"Y",""))</f>
        <v/>
      </c>
      <c r="D60" s="3" t="s">
        <v>173</v>
      </c>
      <c r="E60" s="3" t="str">
        <f>T60&amp;" ft."&amp;IF(U60+V60+W60+X60=0,"",", ")&amp;IF(ISBLANK(U60),"","burrow "&amp;U60&amp;" ft."&amp;IF(V60+W60+X60=0,"",", "))&amp;IF(ISBLANK(V60),"","climb "&amp;V60&amp;" ft."&amp;IF(W60+X60=0,"",", "))&amp;IF(ISBLANK(W60),"","fly "&amp;W60&amp;" ft."&amp;IF(X60=0,"",", "))&amp;IF(ISBLANK(X60),"","swim "&amp;X60&amp;" ft.")</f>
        <v>10 ft., fly 60 ft.</v>
      </c>
      <c r="F60" s="3" t="str">
        <f>IF(ISBLANK(AT60),"",CHAR(13)&amp;CHAR(9)&amp;CHAR(9)&amp;"&lt;"&amp;AU60&amp;"&gt;"&amp;CHAR(13)&amp;CHAR(9)&amp;CHAR(9)&amp;CHAR(9)&amp;"&lt;name&gt;"&amp;AT60&amp;"&lt;/name&gt;"&amp;CHAR(13)&amp;CHAR(9)&amp;CHAR(9)&amp;CHAR(9)&amp;"&lt;text&gt;"&amp;AV60&amp;"&lt;/text&gt;"&amp;IF(ISBLANK(AX60),"",CHAR(13)&amp;CHAR(9)&amp;CHAR(9)&amp;CHAR(9)&amp;"&lt;attack&gt;"&amp;AX60&amp;"|"&amp;AY60&amp;"|"&amp;AZ60&amp;"&lt;/attack&gt;")&amp;CHAR(13)&amp;CHAR(9)&amp;CHAR(9)&amp;"&lt;/"&amp;AU60&amp;"&gt;")</f>
        <v>_x000D_		&lt;trait&gt;_x000D_			&lt;name&gt;Keen Sight&lt;/name&gt;_x000D_			&lt;text&gt;The hawk has advantage on Wisdom (Perception) checks that rely on sight.&lt;/text&gt;_x000D_		&lt;/trait&gt;</v>
      </c>
      <c r="G60" s="3" t="str">
        <f>IF(ISBLANK(BA60),"",CHAR(13)&amp;CHAR(9)&amp;CHAR(9)&amp;"&lt;"&amp;BB60&amp;"&gt;"&amp;CHAR(13)&amp;CHAR(9)&amp;CHAR(9)&amp;CHAR(9)&amp;"&lt;name&gt;"&amp;BA60&amp;"&lt;/name&gt;"&amp;CHAR(13)&amp;CHAR(9)&amp;CHAR(9)&amp;CHAR(9)&amp;"&lt;text&gt;"&amp;BC60&amp;"&lt;/text&gt;"&amp;IF(ISBLANK(BE60),"",CHAR(13)&amp;CHAR(9)&amp;CHAR(9)&amp;CHAR(9)&amp;"&lt;attack&gt;"&amp;BE60&amp;"|"&amp;BF60&amp;"|"&amp;BG60&amp;"&lt;/attack&gt;")&amp;CHAR(13)&amp;CHAR(9)&amp;CHAR(9)&amp;"&lt;/"&amp;BB60&amp;"&gt;")</f>
        <v>_x000D_		&lt;action&gt;_x000D_			&lt;name&gt;Talons&lt;/name&gt;_x000D_			&lt;text&gt;Melee Weapon Attack: +5 to hit, reach 5 ft., one target. Hit: 1 slashing damage.&lt;/text&gt;_x000D_			&lt;attack&gt;Talons|5|1&lt;/attack&gt;_x000D_		&lt;/action&gt;</v>
      </c>
      <c r="H60" s="3" t="str">
        <f>IF(ISBLANK(BH60),"",CHAR(13)&amp;CHAR(9)&amp;CHAR(9)&amp;"&lt;"&amp;BI60&amp;"&gt;"&amp;CHAR(13)&amp;CHAR(9)&amp;CHAR(9)&amp;CHAR(9)&amp;"&lt;name&gt;"&amp;BH60&amp;"&lt;/name&gt;"&amp;CHAR(13)&amp;CHAR(9)&amp;CHAR(9)&amp;CHAR(9)&amp;"&lt;text&gt;"&amp;BJ60&amp;"&lt;/text&gt;"&amp;IF(ISBLANK(BL60),"",CHAR(13)&amp;CHAR(9)&amp;CHAR(9)&amp;CHAR(9)&amp;"&lt;attack&gt;"&amp;BL60&amp;"|"&amp;BM60&amp;"|"&amp;BN60&amp;"&lt;/attack&gt;")&amp;CHAR(13)&amp;CHAR(9)&amp;CHAR(9)&amp;"&lt;/"&amp;BI60&amp;"&gt;")</f>
        <v/>
      </c>
      <c r="I60" s="3" t="str">
        <f>IF(ISBLANK(BO60),"",CHAR(13)&amp;CHAR(9)&amp;CHAR(9)&amp;"&lt;"&amp;BP60&amp;"&gt;"&amp;CHAR(13)&amp;CHAR(9)&amp;CHAR(9)&amp;CHAR(9)&amp;"&lt;name&gt;"&amp;BO60&amp;"&lt;/name&gt;"&amp;CHAR(13)&amp;CHAR(9)&amp;CHAR(9)&amp;CHAR(9)&amp;"&lt;text&gt;"&amp;BQ60&amp;"&lt;/text&gt;"&amp;IF(ISBLANK(BS60),"",CHAR(13)&amp;CHAR(9)&amp;CHAR(9)&amp;CHAR(9)&amp;"&lt;attack&gt;"&amp;BS60&amp;"|"&amp;BT60&amp;"|"&amp;BU60&amp;"&lt;/attack&gt;")&amp;CHAR(13)&amp;CHAR(9)&amp;CHAR(9)&amp;"&lt;/"&amp;BP60&amp;"&gt;")</f>
        <v/>
      </c>
      <c r="J60" s="3" t="str">
        <f>IF(ISBLANK(BV60),"",CHAR(13)&amp;CHAR(9)&amp;CHAR(9)&amp;"&lt;"&amp;BW60&amp;"&gt;"&amp;CHAR(13)&amp;CHAR(9)&amp;CHAR(9)&amp;CHAR(9)&amp;"&lt;name&gt;"&amp;BV60&amp;"&lt;/name&gt;"&amp;CHAR(13)&amp;CHAR(9)&amp;CHAR(9)&amp;CHAR(9)&amp;"&lt;text&gt;"&amp;BX60&amp;"&lt;/text&gt;"&amp;IF(ISBLANK(BZ60),"",CHAR(13)&amp;CHAR(9)&amp;CHAR(9)&amp;CHAR(9)&amp;"&lt;attack&gt;"&amp;BZ60&amp;"|"&amp;CA60&amp;"|"&amp;CB60&amp;"&lt;/attack&gt;")&amp;CHAR(13)&amp;CHAR(9)&amp;CHAR(9)&amp;"&lt;/"&amp;BW60&amp;"&gt;")</f>
        <v/>
      </c>
      <c r="K60" s="3" t="str">
        <f>IF(ISBLANK(CC60),"",CHAR(13)&amp;CHAR(9)&amp;CHAR(9)&amp;"&lt;"&amp;CD60&amp;"&gt;"&amp;CHAR(13)&amp;CHAR(9)&amp;CHAR(9)&amp;CHAR(9)&amp;"&lt;name&gt;"&amp;CC60&amp;"&lt;/name&gt;"&amp;CHAR(13)&amp;CHAR(9)&amp;CHAR(9)&amp;CHAR(9)&amp;"&lt;text&gt;"&amp;CE60&amp;"&lt;/text&gt;"&amp;IF(ISBLANK(CG60),"",CHAR(13)&amp;CHAR(9)&amp;CHAR(9)&amp;CHAR(9)&amp;"&lt;attack&gt;"&amp;CG60&amp;"|"&amp;CH60&amp;"|"&amp;CI60&amp;"&lt;/attack&gt;")&amp;CHAR(13)&amp;CHAR(9)&amp;CHAR(9)&amp;"&lt;/"&amp;CD60&amp;"&gt;")</f>
        <v/>
      </c>
      <c r="L60" s="1" t="s">
        <v>89</v>
      </c>
      <c r="M60" s="1" t="s">
        <v>275</v>
      </c>
      <c r="N60" s="1">
        <f>DruidAlignment</f>
        <v>0</v>
      </c>
      <c r="O60" s="2">
        <v>0</v>
      </c>
      <c r="P60" s="1" t="s">
        <v>0</v>
      </c>
      <c r="Q60" s="1">
        <v>13</v>
      </c>
      <c r="R60" s="1"/>
      <c r="S60" s="1">
        <v>1</v>
      </c>
      <c r="T60" s="1">
        <v>10</v>
      </c>
      <c r="W60" s="1">
        <v>60</v>
      </c>
      <c r="Y60" s="1">
        <v>5</v>
      </c>
      <c r="Z60" s="1">
        <v>16</v>
      </c>
      <c r="AA60" s="1">
        <v>8</v>
      </c>
      <c r="AB60" s="10">
        <f>DruidInt</f>
        <v>0</v>
      </c>
      <c r="AC60" s="10">
        <f>DruidWis</f>
        <v>0</v>
      </c>
      <c r="AD60" s="10">
        <f>DruidCha</f>
        <v>0</v>
      </c>
      <c r="AE60" s="12"/>
      <c r="AF60" s="12">
        <v>3</v>
      </c>
      <c r="AG60" s="12"/>
      <c r="AH60" s="12" t="s">
        <v>173</v>
      </c>
      <c r="AI60" s="12" t="str">
        <f>IF(ISBLANK(DruidAcrobatics),"",", Acrobatics +"&amp;DruidAcrobatics)&amp;IF(ISBLANK(DruidAnimalHandling),"",", Animal Handling +"&amp;DruidAnimalHandling)&amp;IF(ISBLANK(DruidArcana),"",", Arcana +"&amp;DruidArcana)&amp;IF(DruidAthletics+AE60=0,"",", Athletics +"&amp;MAX(DruidAthletics,AE60))&amp;IF(ISBLANK(DruidDeception),"",",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+"&amp;DruidNature)&amp;IF(DruidPerception+AF60=0,"",", Perception +"&amp;MAX(DruidPerception,AF60))&amp;IF(ISBLANK(DruidPerformance),"",", Performance +"&amp;DruidPerformance)&amp;IF(ISBLANK(DruidPersuasion),"",", Persuasion +"&amp;DruidPersuasion)&amp;IF(ISBLANK(DruidReligion),"",", Religion +"&amp;DruidReligion)&amp;IF(ISBLANK(DruidSleightofHand),"",", Sleight of Hand +"&amp;DruidSleightofHand)&amp;IF(DruidStealth+AG60=0,"",", Stealth +"&amp;MAX(DruidStealth,AG60))&amp;IF(ISBLANK(DruidSurvival),"",", Survival +"&amp;DruidSurvival)</f>
        <v>, Perception +3</v>
      </c>
      <c r="AJ60" s="1" t="str">
        <f>RIGHT(AI60,LEN(AI60)-2)</f>
        <v>Perception +3</v>
      </c>
      <c r="AK6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0" s="1" t="s">
        <v>173</v>
      </c>
      <c r="AN60" s="3">
        <f>IF(DruidPerception+AF60=0,10+(ROUNDDOWN((AC60-10)/2,0)),10+MAX(DruidPerception,AF60))</f>
        <v>13</v>
      </c>
      <c r="AT60" s="3" t="s">
        <v>9</v>
      </c>
      <c r="AU60" s="3" t="s">
        <v>148</v>
      </c>
      <c r="AV60" s="3" t="s">
        <v>222</v>
      </c>
      <c r="AW60" s="3" t="s">
        <v>173</v>
      </c>
      <c r="AZ60" s="3"/>
      <c r="BA60" s="3" t="s">
        <v>243</v>
      </c>
      <c r="BB60" s="3" t="s">
        <v>150</v>
      </c>
      <c r="BC60" s="3" t="s">
        <v>341</v>
      </c>
      <c r="BD60" s="3" t="s">
        <v>173</v>
      </c>
      <c r="BE60" s="3" t="s">
        <v>243</v>
      </c>
      <c r="BF60" s="3">
        <v>5</v>
      </c>
      <c r="BG60" s="3">
        <v>1</v>
      </c>
      <c r="BK60" s="3" t="s">
        <v>173</v>
      </c>
      <c r="BN60" s="3"/>
      <c r="BR60" s="3" t="s">
        <v>173</v>
      </c>
      <c r="BY60" s="3" t="s">
        <v>173</v>
      </c>
      <c r="CJ60" s="6">
        <v>0</v>
      </c>
      <c r="CK60" s="6">
        <f>IF(CJ60&lt;0.26,2,IF(CJ60&lt;0.51,4,IF(CJ60&lt;1.1,8,99)))</f>
        <v>2</v>
      </c>
      <c r="CL60" s="3">
        <f>IF(M60="Elemental",10,IF(CJ60&lt;2,2,CJ60*3))</f>
        <v>2</v>
      </c>
      <c r="CM60" s="3">
        <f>IF(W60&gt;0,8,0)</f>
        <v>8</v>
      </c>
      <c r="CN60" s="3">
        <f>IF(X60&gt;0,4,0)</f>
        <v>0</v>
      </c>
    </row>
    <row r="61" spans="1:92">
      <c r="A61" s="3" t="str">
        <f>IF(DruidLevel&lt;B61,"",CHAR(9)&amp;"&lt;monster&gt;"&amp;CHAR(13)&amp;CHAR(9)&amp;CHAR(9)&amp;"&lt;name&gt;"&amp;L61&amp;" (Wild Shape)&lt;/name&gt;"&amp;CHAR(13)&amp;CHAR(9)&amp;CHAR(9)&amp;"&lt;size&gt;"&amp;LEFT(P61,1)&amp;"&lt;/size&gt;"&amp;CHAR(13)&amp;CHAR(9)&amp;CHAR(9)&amp;"&lt;type&gt;"&amp;M61&amp;"&lt;/type&gt;"&amp;CHAR(13)&amp;CHAR(9)&amp;CHAR(9)&amp;"&lt;alignment&gt;"&amp;N61&amp;"&lt;/alignment&gt;"&amp;CHAR(13)&amp;CHAR(9)&amp;CHAR(9)&amp;"&lt;ac&gt;"&amp;Q61&amp;IF(ISBLANK(R61),""," ("&amp;R61&amp;")")&amp;"&lt;/ac&gt;"&amp;CHAR(13)&amp;CHAR(9)&amp;CHAR(9)&amp;"&lt;hp&gt;"&amp;S61&amp;"&lt;/hp&gt;"&amp;CHAR(13)&amp;CHAR(9)&amp;CHAR(9)&amp;"&lt;speed&gt;"&amp;E61&amp;"&lt;/speed&gt;"&amp;CHAR(13)&amp;CHAR(9)&amp;CHAR(9)&amp;"&lt;str&gt;"&amp;Y61&amp;"&lt;/str&gt;&lt;dex&gt;"&amp;Z61&amp;"&lt;/dex&gt;&lt;con&gt;"&amp;AA61&amp;"&lt;/con&gt;&lt;int&gt;"&amp;AB61&amp;"&lt;/int&gt;&lt;wis&gt;"&amp;AC61&amp;"&lt;/wis&gt;&lt;cha&gt;"&amp;AD61&amp;"&lt;/cha&gt;"&amp;CHAR(13)&amp;CHAR(9)&amp;CHAR(9)&amp;"&lt;save&gt;"&amp;AK61&amp;"&lt;/save&gt;"&amp;CHAR(13)&amp;CHAR(9)&amp;CHAR(9)&amp;"&lt;skill&gt;"&amp;AJ61&amp;"&lt;/skill&gt;"&amp;CHAR(13)&amp;CHAR(9)&amp;CHAR(9)&amp;"&lt;vulnerable&gt;"&amp;AO61&amp;"&lt;/vulnerable&gt;"&amp;CHAR(13)&amp;CHAR(9)&amp;CHAR(9)&amp;"&lt;resist&gt;"&amp;AP61&amp;"&lt;/resist&gt;"&amp;CHAR(13)&amp;CHAR(9)&amp;CHAR(9)&amp;"&lt;immune&gt;"&amp;AQ61&amp;"&lt;/immune&gt;"&amp;CHAR(13)&amp;CHAR(9)&amp;CHAR(9)&amp;"&lt;conditionImmune&gt;"&amp;AR61&amp;"&lt;/conditionImmune&gt;"&amp;CHAR(13)&amp;CHAR(9)&amp;CHAR(9)&amp;"&lt;senses&gt;"&amp;AM61&amp;"&lt;/senses&gt;"&amp;CHAR(13)&amp;CHAR(9)&amp;CHAR(9)&amp;"&lt;passive&gt;"&amp;AN61&amp;"&lt;/passive&gt;"&amp;CHAR(13)&amp;CHAR(9)&amp;CHAR(9)&amp;"&lt;languages&gt;"&amp;AS61&amp;"&lt;/languages&gt;"&amp;CHAR(13)&amp;CHAR(9)&amp;CHAR(9)&amp;"&lt;cr&gt;"&amp;O61&amp;"&lt;/cr&gt;"&amp;F61&amp;G61&amp;H61&amp;I61&amp;J61&amp;K61&amp;IF(C61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1" s="3">
        <f>IF(COTM=TRUE,MAX(CL61,CM61,CN61),MAX(CK61,CM61,CN61))</f>
        <v>99</v>
      </c>
      <c r="C61" s="11" t="str">
        <f>IF(COTM=FALSE,"",IF(DruidLevel&gt;5,"Y",""))</f>
        <v/>
      </c>
      <c r="D61" s="3" t="s">
        <v>173</v>
      </c>
      <c r="E61" s="3" t="str">
        <f>T61&amp;" ft."&amp;IF(U61+V61+W61+X61=0,"",", ")&amp;IF(ISBLANK(U61),"","burrow "&amp;U61&amp;" ft."&amp;IF(V61+W61+X61=0,"",", "))&amp;IF(ISBLANK(V61),"","climb "&amp;V61&amp;" ft."&amp;IF(W61+X61=0,"",", "))&amp;IF(ISBLANK(W61),"","fly "&amp;W61&amp;" ft."&amp;IF(X61=0,"",", "))&amp;IF(ISBLANK(X61),"","swim "&amp;X61&amp;" ft.")</f>
        <v>0 ft., swim 40 ft.</v>
      </c>
      <c r="F61" s="3" t="str">
        <f>IF(ISBLANK(AT61),"",CHAR(13)&amp;CHAR(9)&amp;CHAR(9)&amp;"&lt;"&amp;AU61&amp;"&gt;"&amp;CHAR(13)&amp;CHAR(9)&amp;CHAR(9)&amp;CHAR(9)&amp;"&lt;name&gt;"&amp;AT61&amp;"&lt;/name&gt;"&amp;CHAR(13)&amp;CHAR(9)&amp;CHAR(9)&amp;CHAR(9)&amp;"&lt;text&gt;"&amp;AV61&amp;"&lt;/text&gt;"&amp;IF(ISBLANK(AX61),"",CHAR(13)&amp;CHAR(9)&amp;CHAR(9)&amp;CHAR(9)&amp;"&lt;attack&gt;"&amp;AX61&amp;"|"&amp;AY61&amp;"|"&amp;AZ61&amp;"&lt;/attack&gt;")&amp;CHAR(13)&amp;CHAR(9)&amp;CHAR(9)&amp;"&lt;/"&amp;AU61&amp;"&gt;")</f>
        <v>_x000D_		&lt;trait&gt;_x000D_			&lt;name&gt;Blood Frenzy&lt;/name&gt;_x000D_			&lt;text&gt;The shark has advantage on melee attack rolls against any creature that doesn't have all its hit points.&lt;/text&gt;_x000D_		&lt;/trait&gt;</v>
      </c>
      <c r="G61" s="3" t="str">
        <f>IF(ISBLANK(BA61),"",CHAR(13)&amp;CHAR(9)&amp;CHAR(9)&amp;"&lt;"&amp;BB61&amp;"&gt;"&amp;CHAR(13)&amp;CHAR(9)&amp;CHAR(9)&amp;CHAR(9)&amp;"&lt;name&gt;"&amp;BA61&amp;"&lt;/name&gt;"&amp;CHAR(13)&amp;CHAR(9)&amp;CHAR(9)&amp;CHAR(9)&amp;"&lt;text&gt;"&amp;BC61&amp;"&lt;/text&gt;"&amp;IF(ISBLANK(BE61),"",CHAR(13)&amp;CHAR(9)&amp;CHAR(9)&amp;CHAR(9)&amp;"&lt;attack&gt;"&amp;BE61&amp;"|"&amp;BF61&amp;"|"&amp;BG61&amp;"&lt;/attack&gt;")&amp;CHAR(13)&amp;CHAR(9)&amp;CHAR(9)&amp;"&lt;/"&amp;BB61&amp;"&gt;")</f>
        <v>_x000D_		&lt;trait&gt;_x000D_			&lt;name&gt;Water Breathing&lt;/name&gt;_x000D_			&lt;text&gt;The shark can breathe only underwater.&lt;/text&gt;_x000D_		&lt;/trait&gt;</v>
      </c>
      <c r="H61" s="3" t="str">
        <f>IF(ISBLANK(BH61),"",CHAR(13)&amp;CHAR(9)&amp;CHAR(9)&amp;"&lt;"&amp;BI61&amp;"&gt;"&amp;CHAR(13)&amp;CHAR(9)&amp;CHAR(9)&amp;CHAR(9)&amp;"&lt;name&gt;"&amp;BH61&amp;"&lt;/name&gt;"&amp;CHAR(13)&amp;CHAR(9)&amp;CHAR(9)&amp;CHAR(9)&amp;"&lt;text&gt;"&amp;BJ61&amp;"&lt;/text&gt;"&amp;IF(ISBLANK(BL61),"",CHAR(13)&amp;CHAR(9)&amp;CHAR(9)&amp;CHAR(9)&amp;"&lt;attack&gt;"&amp;BL61&amp;"|"&amp;BM61&amp;"|"&amp;BN61&amp;"&lt;/attack&gt;")&amp;CHAR(13)&amp;CHAR(9)&amp;CHAR(9)&amp;"&lt;/"&amp;BI61&amp;"&gt;")</f>
        <v>_x000D_		&lt;action&gt;_x000D_			&lt;name&gt;Bite&lt;/name&gt;_x000D_			&lt;text&gt;Melee Weapon Attack: +6 to hit, reach 5 ft., one target. Hit: 13 (2d8 + 4) piercing damage.&lt;/text&gt;_x000D_			&lt;attack&gt;Bite|6|2d8+4&lt;/attack&gt;_x000D_		&lt;/action&gt;</v>
      </c>
      <c r="I61" s="3" t="str">
        <f>IF(ISBLANK(BO61),"",CHAR(13)&amp;CHAR(9)&amp;CHAR(9)&amp;"&lt;"&amp;BP61&amp;"&gt;"&amp;CHAR(13)&amp;CHAR(9)&amp;CHAR(9)&amp;CHAR(9)&amp;"&lt;name&gt;"&amp;BO61&amp;"&lt;/name&gt;"&amp;CHAR(13)&amp;CHAR(9)&amp;CHAR(9)&amp;CHAR(9)&amp;"&lt;text&gt;"&amp;BQ61&amp;"&lt;/text&gt;"&amp;IF(ISBLANK(BS61),"",CHAR(13)&amp;CHAR(9)&amp;CHAR(9)&amp;CHAR(9)&amp;"&lt;attack&gt;"&amp;BS61&amp;"|"&amp;BT61&amp;"|"&amp;BU61&amp;"&lt;/attack&gt;")&amp;CHAR(13)&amp;CHAR(9)&amp;CHAR(9)&amp;"&lt;/"&amp;BP61&amp;"&gt;")</f>
        <v/>
      </c>
      <c r="J61" s="3" t="str">
        <f>IF(ISBLANK(BV61),"",CHAR(13)&amp;CHAR(9)&amp;CHAR(9)&amp;"&lt;"&amp;BW61&amp;"&gt;"&amp;CHAR(13)&amp;CHAR(9)&amp;CHAR(9)&amp;CHAR(9)&amp;"&lt;name&gt;"&amp;BV61&amp;"&lt;/name&gt;"&amp;CHAR(13)&amp;CHAR(9)&amp;CHAR(9)&amp;CHAR(9)&amp;"&lt;text&gt;"&amp;BX61&amp;"&lt;/text&gt;"&amp;IF(ISBLANK(BZ61),"",CHAR(13)&amp;CHAR(9)&amp;CHAR(9)&amp;CHAR(9)&amp;"&lt;attack&gt;"&amp;BZ61&amp;"|"&amp;CA61&amp;"|"&amp;CB61&amp;"&lt;/attack&gt;")&amp;CHAR(13)&amp;CHAR(9)&amp;CHAR(9)&amp;"&lt;/"&amp;BW61&amp;"&gt;")</f>
        <v/>
      </c>
      <c r="K61" s="3" t="str">
        <f>IF(ISBLANK(CC61),"",CHAR(13)&amp;CHAR(9)&amp;CHAR(9)&amp;"&lt;"&amp;CD61&amp;"&gt;"&amp;CHAR(13)&amp;CHAR(9)&amp;CHAR(9)&amp;CHAR(9)&amp;"&lt;name&gt;"&amp;CC61&amp;"&lt;/name&gt;"&amp;CHAR(13)&amp;CHAR(9)&amp;CHAR(9)&amp;CHAR(9)&amp;"&lt;text&gt;"&amp;CE61&amp;"&lt;/text&gt;"&amp;IF(ISBLANK(CG61),"",CHAR(13)&amp;CHAR(9)&amp;CHAR(9)&amp;CHAR(9)&amp;"&lt;attack&gt;"&amp;CG61&amp;"|"&amp;CH61&amp;"|"&amp;CI61&amp;"&lt;/attack&gt;")&amp;CHAR(13)&amp;CHAR(9)&amp;CHAR(9)&amp;"&lt;/"&amp;CD61&amp;"&gt;")</f>
        <v/>
      </c>
      <c r="L61" s="1" t="s">
        <v>82</v>
      </c>
      <c r="M61" s="1" t="s">
        <v>275</v>
      </c>
      <c r="N61" s="1">
        <f>DruidAlignment</f>
        <v>0</v>
      </c>
      <c r="O61" s="2">
        <v>2</v>
      </c>
      <c r="P61" s="1" t="s">
        <v>2</v>
      </c>
      <c r="Q61" s="1">
        <v>12</v>
      </c>
      <c r="R61" s="1" t="s">
        <v>405</v>
      </c>
      <c r="S61" s="1">
        <v>45</v>
      </c>
      <c r="T61" s="1">
        <v>0</v>
      </c>
      <c r="X61" s="1">
        <v>40</v>
      </c>
      <c r="Y61" s="1">
        <v>18</v>
      </c>
      <c r="Z61" s="1">
        <v>13</v>
      </c>
      <c r="AA61" s="1">
        <v>15</v>
      </c>
      <c r="AB61" s="10">
        <f>DruidInt</f>
        <v>0</v>
      </c>
      <c r="AC61" s="10">
        <f>DruidWis</f>
        <v>0</v>
      </c>
      <c r="AD61" s="10">
        <f>DruidCha</f>
        <v>0</v>
      </c>
      <c r="AE61" s="12"/>
      <c r="AF61" s="12"/>
      <c r="AG61" s="12"/>
      <c r="AH61" s="12" t="s">
        <v>173</v>
      </c>
      <c r="AI61" s="12" t="str">
        <f>IF(ISBLANK(DruidAcrobatics),"",", Acrobatics +"&amp;DruidAcrobatics)&amp;IF(ISBLANK(DruidAnimalHandling),"",", Animal Handling +"&amp;DruidAnimalHandling)&amp;IF(ISBLANK(DruidArcana),"",", Arcana +"&amp;DruidArcana)&amp;IF(DruidAthletics+AE61=0,"",", Athletics +"&amp;MAX(DruidAthletics,AE61))&amp;IF(ISBLANK(DruidDeception),"",",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+"&amp;DruidNature)&amp;IF(DruidPerception+AF61=0,"",", Perception +"&amp;MAX(DruidPerception,AF61))&amp;IF(ISBLANK(DruidPerformance),"",", Performance +"&amp;DruidPerformance)&amp;IF(ISBLANK(DruidPersuasion),"",", Persuasion +"&amp;DruidPersuasion)&amp;IF(ISBLANK(DruidReligion),"",", Religion +"&amp;DruidReligion)&amp;IF(ISBLANK(DruidSleightofHand),"",", Sleight of Hand +"&amp;DruidSleightofHand)&amp;IF(DruidStealth+AG61=0,"",", Stealth +"&amp;MAX(DruidStealth,AG61))&amp;IF(ISBLANK(DruidSurvival),"",", Survival +"&amp;DruidSurvival)</f>
        <v/>
      </c>
      <c r="AJ61" s="1" t="e">
        <f>RIGHT(AI61,LEN(AI61)-2)</f>
        <v>#VALUE!</v>
      </c>
      <c r="AK6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1" s="1" t="s">
        <v>173</v>
      </c>
      <c r="AM61" s="1" t="s">
        <v>178</v>
      </c>
      <c r="AN61" s="3">
        <f>IF(DruidPerception+AF61=0,10+(ROUNDDOWN((AC61-10)/2,0)),10+MAX(DruidPerception,AF61))</f>
        <v>5</v>
      </c>
      <c r="AO61" s="1"/>
      <c r="AP61" s="1"/>
      <c r="AQ61" s="1"/>
      <c r="AR61" s="1"/>
      <c r="AS61" s="1"/>
      <c r="AT61" s="3" t="s">
        <v>320</v>
      </c>
      <c r="AU61" s="3" t="s">
        <v>148</v>
      </c>
      <c r="AV61" s="3" t="s">
        <v>500</v>
      </c>
      <c r="AW61" s="3" t="s">
        <v>173</v>
      </c>
      <c r="AZ61" s="3"/>
      <c r="BA61" s="3" t="s">
        <v>64</v>
      </c>
      <c r="BB61" s="3" t="s">
        <v>148</v>
      </c>
      <c r="BC61" s="3" t="s">
        <v>321</v>
      </c>
      <c r="BD61" s="3" t="s">
        <v>173</v>
      </c>
      <c r="BG61" s="3"/>
      <c r="BH61" s="3" t="s">
        <v>161</v>
      </c>
      <c r="BI61" s="3" t="s">
        <v>150</v>
      </c>
      <c r="BJ61" s="3" t="s">
        <v>342</v>
      </c>
      <c r="BK61" s="3" t="s">
        <v>173</v>
      </c>
      <c r="BL61" s="3" t="s">
        <v>161</v>
      </c>
      <c r="BM61" s="3">
        <v>6</v>
      </c>
      <c r="BN61" s="3" t="s">
        <v>202</v>
      </c>
      <c r="BR61" s="3" t="s">
        <v>173</v>
      </c>
      <c r="BY61" s="3" t="s">
        <v>173</v>
      </c>
      <c r="CJ61" s="6">
        <v>2</v>
      </c>
      <c r="CK61" s="6">
        <f>IF(CJ61&lt;0.26,2,IF(CJ61&lt;0.51,4,IF(CJ61&lt;1.1,8,99)))</f>
        <v>99</v>
      </c>
      <c r="CL61" s="3">
        <f>IF(M61="Elemental",10,IF(CJ61&lt;2,2,CJ61*3))</f>
        <v>6</v>
      </c>
      <c r="CM61" s="3">
        <f>IF(W61&gt;0,8,0)</f>
        <v>0</v>
      </c>
      <c r="CN61" s="3">
        <f>IF(X61&gt;0,4,0)</f>
        <v>4</v>
      </c>
    </row>
    <row r="62" spans="1:92">
      <c r="A62" s="3" t="str">
        <f>IF(DruidLevel&lt;B62,"",CHAR(9)&amp;"&lt;monster&gt;"&amp;CHAR(13)&amp;CHAR(9)&amp;CHAR(9)&amp;"&lt;name&gt;"&amp;L62&amp;" (Wild Shape)&lt;/name&gt;"&amp;CHAR(13)&amp;CHAR(9)&amp;CHAR(9)&amp;"&lt;size&gt;"&amp;LEFT(P62,1)&amp;"&lt;/size&gt;"&amp;CHAR(13)&amp;CHAR(9)&amp;CHAR(9)&amp;"&lt;type&gt;"&amp;M62&amp;"&lt;/type&gt;"&amp;CHAR(13)&amp;CHAR(9)&amp;CHAR(9)&amp;"&lt;alignment&gt;"&amp;N62&amp;"&lt;/alignment&gt;"&amp;CHAR(13)&amp;CHAR(9)&amp;CHAR(9)&amp;"&lt;ac&gt;"&amp;Q62&amp;IF(ISBLANK(R62),""," ("&amp;R62&amp;")")&amp;"&lt;/ac&gt;"&amp;CHAR(13)&amp;CHAR(9)&amp;CHAR(9)&amp;"&lt;hp&gt;"&amp;S62&amp;"&lt;/hp&gt;"&amp;CHAR(13)&amp;CHAR(9)&amp;CHAR(9)&amp;"&lt;speed&gt;"&amp;E62&amp;"&lt;/speed&gt;"&amp;CHAR(13)&amp;CHAR(9)&amp;CHAR(9)&amp;"&lt;str&gt;"&amp;Y62&amp;"&lt;/str&gt;&lt;dex&gt;"&amp;Z62&amp;"&lt;/dex&gt;&lt;con&gt;"&amp;AA62&amp;"&lt;/con&gt;&lt;int&gt;"&amp;AB62&amp;"&lt;/int&gt;&lt;wis&gt;"&amp;AC62&amp;"&lt;/wis&gt;&lt;cha&gt;"&amp;AD62&amp;"&lt;/cha&gt;"&amp;CHAR(13)&amp;CHAR(9)&amp;CHAR(9)&amp;"&lt;save&gt;"&amp;AK62&amp;"&lt;/save&gt;"&amp;CHAR(13)&amp;CHAR(9)&amp;CHAR(9)&amp;"&lt;skill&gt;"&amp;AJ62&amp;"&lt;/skill&gt;"&amp;CHAR(13)&amp;CHAR(9)&amp;CHAR(9)&amp;"&lt;vulnerable&gt;"&amp;AO62&amp;"&lt;/vulnerable&gt;"&amp;CHAR(13)&amp;CHAR(9)&amp;CHAR(9)&amp;"&lt;resist&gt;"&amp;AP62&amp;"&lt;/resist&gt;"&amp;CHAR(13)&amp;CHAR(9)&amp;CHAR(9)&amp;"&lt;immune&gt;"&amp;AQ62&amp;"&lt;/immune&gt;"&amp;CHAR(13)&amp;CHAR(9)&amp;CHAR(9)&amp;"&lt;conditionImmune&gt;"&amp;AR62&amp;"&lt;/conditionImmune&gt;"&amp;CHAR(13)&amp;CHAR(9)&amp;CHAR(9)&amp;"&lt;senses&gt;"&amp;AM62&amp;"&lt;/senses&gt;"&amp;CHAR(13)&amp;CHAR(9)&amp;CHAR(9)&amp;"&lt;passive&gt;"&amp;AN62&amp;"&lt;/passive&gt;"&amp;CHAR(13)&amp;CHAR(9)&amp;CHAR(9)&amp;"&lt;languages&gt;"&amp;AS62&amp;"&lt;/languages&gt;"&amp;CHAR(13)&amp;CHAR(9)&amp;CHAR(9)&amp;"&lt;cr&gt;"&amp;O62&amp;"&lt;/cr&gt;"&amp;F62&amp;G62&amp;H62&amp;I62&amp;J62&amp;K62&amp;IF(C62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2" s="3">
        <f>IF(COTM=TRUE,MAX(CL62,CM62,CN62),MAX(CK62,CM62,CN62))</f>
        <v>2</v>
      </c>
      <c r="C62" s="11" t="str">
        <f>IF(COTM=FALSE,"",IF(DruidLevel&gt;5,"Y",""))</f>
        <v/>
      </c>
      <c r="D62" s="3" t="s">
        <v>173</v>
      </c>
      <c r="E62" s="3" t="str">
        <f>T62&amp;" ft."&amp;IF(U62+V62+W62+X62=0,"",", ")&amp;IF(ISBLANK(U62),"","burrow "&amp;U62&amp;" ft."&amp;IF(V62+W62+X62=0,"",", "))&amp;IF(ISBLANK(V62),"","climb "&amp;V62&amp;" ft."&amp;IF(W62+X62=0,"",", "))&amp;IF(ISBLANK(W62),"","fly "&amp;W62&amp;" ft."&amp;IF(X62=0,"",", "))&amp;IF(ISBLANK(X62),"","swim "&amp;X62&amp;" ft.")</f>
        <v>50 ft.</v>
      </c>
      <c r="F62" s="3" t="str">
        <f>IF(ISBLANK(AT62),"",CHAR(13)&amp;CHAR(9)&amp;CHAR(9)&amp;"&lt;"&amp;AU62&amp;"&gt;"&amp;CHAR(13)&amp;CHAR(9)&amp;CHAR(9)&amp;CHAR(9)&amp;"&lt;name&gt;"&amp;AT62&amp;"&lt;/name&gt;"&amp;CHAR(13)&amp;CHAR(9)&amp;CHAR(9)&amp;CHAR(9)&amp;"&lt;text&gt;"&amp;AV62&amp;"&lt;/text&gt;"&amp;IF(ISBLANK(AX62),"",CHAR(13)&amp;CHAR(9)&amp;CHAR(9)&amp;CHAR(9)&amp;"&lt;attack&gt;"&amp;AX62&amp;"|"&amp;AY62&amp;"|"&amp;AZ62&amp;"&lt;/attack&gt;")&amp;CHAR(13)&amp;CHAR(9)&amp;CHAR(9)&amp;"&lt;/"&amp;AU62&amp;"&gt;")</f>
        <v>_x000D_		&lt;trait&gt;_x000D_			&lt;name&gt;Pack Tactics&lt;/name&gt;_x000D_			&lt;text&gt;The hyena has advantage on an attack roll against a creature if at least one of the hyena's allies is within 5 feet of the creature and the ally isn't incapacitated.&lt;/text&gt;_x000D_		&lt;/trait&gt;</v>
      </c>
      <c r="G62" s="3" t="str">
        <f>IF(ISBLANK(BA62),"",CHAR(13)&amp;CHAR(9)&amp;CHAR(9)&amp;"&lt;"&amp;BB62&amp;"&gt;"&amp;CHAR(13)&amp;CHAR(9)&amp;CHAR(9)&amp;CHAR(9)&amp;"&lt;name&gt;"&amp;BA62&amp;"&lt;/name&gt;"&amp;CHAR(13)&amp;CHAR(9)&amp;CHAR(9)&amp;CHAR(9)&amp;"&lt;text&gt;"&amp;BC62&amp;"&lt;/text&gt;"&amp;IF(ISBLANK(BE62),"",CHAR(13)&amp;CHAR(9)&amp;CHAR(9)&amp;CHAR(9)&amp;"&lt;attack&gt;"&amp;BE62&amp;"|"&amp;BF62&amp;"|"&amp;BG62&amp;"&lt;/attack&gt;")&amp;CHAR(13)&amp;CHAR(9)&amp;CHAR(9)&amp;"&lt;/"&amp;BB62&amp;"&gt;")</f>
        <v>_x000D_		&lt;action&gt;_x000D_			&lt;name&gt;Bite&lt;/name&gt;_x000D_			&lt;text&gt;Weapon Attack: +2 to hit, reach 5 ft., one target. Hit: 3 (1d6) piercing damage.&lt;/text&gt;_x000D_			&lt;attack&gt;Bite|2|1d6&lt;/attack&gt;_x000D_		&lt;/action&gt;</v>
      </c>
      <c r="H62" s="3" t="str">
        <f>IF(ISBLANK(BH62),"",CHAR(13)&amp;CHAR(9)&amp;CHAR(9)&amp;"&lt;"&amp;BI62&amp;"&gt;"&amp;CHAR(13)&amp;CHAR(9)&amp;CHAR(9)&amp;CHAR(9)&amp;"&lt;name&gt;"&amp;BH62&amp;"&lt;/name&gt;"&amp;CHAR(13)&amp;CHAR(9)&amp;CHAR(9)&amp;CHAR(9)&amp;"&lt;text&gt;"&amp;BJ62&amp;"&lt;/text&gt;"&amp;IF(ISBLANK(BL62),"",CHAR(13)&amp;CHAR(9)&amp;CHAR(9)&amp;CHAR(9)&amp;"&lt;attack&gt;"&amp;BL62&amp;"|"&amp;BM62&amp;"|"&amp;BN62&amp;"&lt;/attack&gt;")&amp;CHAR(13)&amp;CHAR(9)&amp;CHAR(9)&amp;"&lt;/"&amp;BI62&amp;"&gt;")</f>
        <v/>
      </c>
      <c r="I62" s="3" t="str">
        <f>IF(ISBLANK(BO62),"",CHAR(13)&amp;CHAR(9)&amp;CHAR(9)&amp;"&lt;"&amp;BP62&amp;"&gt;"&amp;CHAR(13)&amp;CHAR(9)&amp;CHAR(9)&amp;CHAR(9)&amp;"&lt;name&gt;"&amp;BO62&amp;"&lt;/name&gt;"&amp;CHAR(13)&amp;CHAR(9)&amp;CHAR(9)&amp;CHAR(9)&amp;"&lt;text&gt;"&amp;BQ62&amp;"&lt;/text&gt;"&amp;IF(ISBLANK(BS62),"",CHAR(13)&amp;CHAR(9)&amp;CHAR(9)&amp;CHAR(9)&amp;"&lt;attack&gt;"&amp;BS62&amp;"|"&amp;BT62&amp;"|"&amp;BU62&amp;"&lt;/attack&gt;")&amp;CHAR(13)&amp;CHAR(9)&amp;CHAR(9)&amp;"&lt;/"&amp;BP62&amp;"&gt;")</f>
        <v/>
      </c>
      <c r="J62" s="3" t="str">
        <f>IF(ISBLANK(BV62),"",CHAR(13)&amp;CHAR(9)&amp;CHAR(9)&amp;"&lt;"&amp;BW62&amp;"&gt;"&amp;CHAR(13)&amp;CHAR(9)&amp;CHAR(9)&amp;CHAR(9)&amp;"&lt;name&gt;"&amp;BV62&amp;"&lt;/name&gt;"&amp;CHAR(13)&amp;CHAR(9)&amp;CHAR(9)&amp;CHAR(9)&amp;"&lt;text&gt;"&amp;BX62&amp;"&lt;/text&gt;"&amp;IF(ISBLANK(BZ62),"",CHAR(13)&amp;CHAR(9)&amp;CHAR(9)&amp;CHAR(9)&amp;"&lt;attack&gt;"&amp;BZ62&amp;"|"&amp;CA62&amp;"|"&amp;CB62&amp;"&lt;/attack&gt;")&amp;CHAR(13)&amp;CHAR(9)&amp;CHAR(9)&amp;"&lt;/"&amp;BW62&amp;"&gt;")</f>
        <v/>
      </c>
      <c r="K62" s="3" t="str">
        <f>IF(ISBLANK(CC62),"",CHAR(13)&amp;CHAR(9)&amp;CHAR(9)&amp;"&lt;"&amp;CD62&amp;"&gt;"&amp;CHAR(13)&amp;CHAR(9)&amp;CHAR(9)&amp;CHAR(9)&amp;"&lt;name&gt;"&amp;CC62&amp;"&lt;/name&gt;"&amp;CHAR(13)&amp;CHAR(9)&amp;CHAR(9)&amp;CHAR(9)&amp;"&lt;text&gt;"&amp;CE62&amp;"&lt;/text&gt;"&amp;IF(ISBLANK(CG62),"",CHAR(13)&amp;CHAR(9)&amp;CHAR(9)&amp;CHAR(9)&amp;"&lt;attack&gt;"&amp;CG62&amp;"|"&amp;CH62&amp;"|"&amp;CI62&amp;"&lt;/attack&gt;")&amp;CHAR(13)&amp;CHAR(9)&amp;CHAR(9)&amp;"&lt;/"&amp;CD62&amp;"&gt;")</f>
        <v/>
      </c>
      <c r="L62" s="1" t="s">
        <v>21</v>
      </c>
      <c r="M62" s="1" t="s">
        <v>275</v>
      </c>
      <c r="N62" s="1">
        <f>DruidAlignment</f>
        <v>0</v>
      </c>
      <c r="O62" s="2">
        <v>0</v>
      </c>
      <c r="P62" s="1" t="s">
        <v>17</v>
      </c>
      <c r="Q62" s="1">
        <v>11</v>
      </c>
      <c r="R62" s="1"/>
      <c r="S62" s="1">
        <v>5</v>
      </c>
      <c r="T62" s="1">
        <v>50</v>
      </c>
      <c r="Y62" s="1">
        <v>11</v>
      </c>
      <c r="Z62" s="1">
        <v>13</v>
      </c>
      <c r="AA62" s="1">
        <v>12</v>
      </c>
      <c r="AB62" s="10">
        <f>DruidInt</f>
        <v>0</v>
      </c>
      <c r="AC62" s="10">
        <f>DruidWis</f>
        <v>0</v>
      </c>
      <c r="AD62" s="10">
        <f>DruidCha</f>
        <v>0</v>
      </c>
      <c r="AE62" s="12"/>
      <c r="AF62" s="12">
        <v>4</v>
      </c>
      <c r="AG62" s="12"/>
      <c r="AH62" s="12" t="s">
        <v>173</v>
      </c>
      <c r="AI62" s="12" t="str">
        <f>IF(ISBLANK(DruidAcrobatics),"",", Acrobatics +"&amp;DruidAcrobatics)&amp;IF(ISBLANK(DruidAnimalHandling),"",", Animal Handling +"&amp;DruidAnimalHandling)&amp;IF(ISBLANK(DruidArcana),"",", Arcana +"&amp;DruidArcana)&amp;IF(DruidAthletics+AE62=0,"",", Athletics +"&amp;MAX(DruidAthletics,AE62))&amp;IF(ISBLANK(DruidDeception),"",",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+"&amp;DruidNature)&amp;IF(DruidPerception+AF62=0,"",", Perception +"&amp;MAX(DruidPerception,AF62))&amp;IF(ISBLANK(DruidPerformance),"",", Performance +"&amp;DruidPerformance)&amp;IF(ISBLANK(DruidPersuasion),"",", Persuasion +"&amp;DruidPersuasion)&amp;IF(ISBLANK(DruidReligion),"",", Religion +"&amp;DruidReligion)&amp;IF(ISBLANK(DruidSleightofHand),"",", Sleight of Hand +"&amp;DruidSleightofHand)&amp;IF(DruidStealth+AG62=0,"",", Stealth +"&amp;MAX(DruidStealth,AG62))&amp;IF(ISBLANK(DruidSurvival),"",", Survival +"&amp;DruidSurvival)</f>
        <v>, Perception +4</v>
      </c>
      <c r="AJ62" s="1" t="str">
        <f>RIGHT(AI62,LEN(AI62)-2)</f>
        <v>Perception +4</v>
      </c>
      <c r="AK6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2" s="1" t="s">
        <v>173</v>
      </c>
      <c r="AN62" s="3">
        <f>IF(DruidPerception+AF62=0,10+(ROUNDDOWN((AC62-10)/2,0)),10+MAX(DruidPerception,AF62))</f>
        <v>14</v>
      </c>
      <c r="AT62" s="3" t="s">
        <v>12</v>
      </c>
      <c r="AU62" s="3" t="s">
        <v>148</v>
      </c>
      <c r="AV62" s="3" t="s">
        <v>496</v>
      </c>
      <c r="AW62" s="3" t="s">
        <v>173</v>
      </c>
      <c r="AZ62" s="3"/>
      <c r="BA62" s="3" t="s">
        <v>161</v>
      </c>
      <c r="BB62" s="3" t="s">
        <v>150</v>
      </c>
      <c r="BC62" s="3" t="s">
        <v>343</v>
      </c>
      <c r="BD62" s="3" t="s">
        <v>173</v>
      </c>
      <c r="BE62" s="3" t="s">
        <v>161</v>
      </c>
      <c r="BF62" s="3">
        <v>2</v>
      </c>
      <c r="BG62" s="3" t="s">
        <v>344</v>
      </c>
      <c r="BK62" s="3" t="s">
        <v>173</v>
      </c>
      <c r="BN62" s="3"/>
      <c r="BR62" s="3" t="s">
        <v>173</v>
      </c>
      <c r="BY62" s="3" t="s">
        <v>173</v>
      </c>
      <c r="CJ62" s="6">
        <v>0</v>
      </c>
      <c r="CK62" s="6">
        <f>IF(CJ62&lt;0.26,2,IF(CJ62&lt;0.51,4,IF(CJ62&lt;1.1,8,99)))</f>
        <v>2</v>
      </c>
      <c r="CL62" s="3">
        <f>IF(M62="Elemental",10,IF(CJ62&lt;2,2,CJ62*3))</f>
        <v>2</v>
      </c>
      <c r="CM62" s="3">
        <f>IF(W62&gt;0,8,0)</f>
        <v>0</v>
      </c>
      <c r="CN62" s="3">
        <f>IF(X62&gt;0,4,0)</f>
        <v>0</v>
      </c>
    </row>
    <row r="63" spans="1:92">
      <c r="A63" s="3" t="str">
        <f>IF(DruidLevel&lt;B63,"",CHAR(9)&amp;"&lt;monster&gt;"&amp;CHAR(13)&amp;CHAR(9)&amp;CHAR(9)&amp;"&lt;name&gt;"&amp;L63&amp;" (Wild Shape)&lt;/name&gt;"&amp;CHAR(13)&amp;CHAR(9)&amp;CHAR(9)&amp;"&lt;size&gt;"&amp;LEFT(P63,1)&amp;"&lt;/size&gt;"&amp;CHAR(13)&amp;CHAR(9)&amp;CHAR(9)&amp;"&lt;type&gt;"&amp;M63&amp;"&lt;/type&gt;"&amp;CHAR(13)&amp;CHAR(9)&amp;CHAR(9)&amp;"&lt;alignment&gt;"&amp;N63&amp;"&lt;/alignment&gt;"&amp;CHAR(13)&amp;CHAR(9)&amp;CHAR(9)&amp;"&lt;ac&gt;"&amp;Q63&amp;IF(ISBLANK(R63),""," ("&amp;R63&amp;")")&amp;"&lt;/ac&gt;"&amp;CHAR(13)&amp;CHAR(9)&amp;CHAR(9)&amp;"&lt;hp&gt;"&amp;S63&amp;"&lt;/hp&gt;"&amp;CHAR(13)&amp;CHAR(9)&amp;CHAR(9)&amp;"&lt;speed&gt;"&amp;E63&amp;"&lt;/speed&gt;"&amp;CHAR(13)&amp;CHAR(9)&amp;CHAR(9)&amp;"&lt;str&gt;"&amp;Y63&amp;"&lt;/str&gt;&lt;dex&gt;"&amp;Z63&amp;"&lt;/dex&gt;&lt;con&gt;"&amp;AA63&amp;"&lt;/con&gt;&lt;int&gt;"&amp;AB63&amp;"&lt;/int&gt;&lt;wis&gt;"&amp;AC63&amp;"&lt;/wis&gt;&lt;cha&gt;"&amp;AD63&amp;"&lt;/cha&gt;"&amp;CHAR(13)&amp;CHAR(9)&amp;CHAR(9)&amp;"&lt;save&gt;"&amp;AK63&amp;"&lt;/save&gt;"&amp;CHAR(13)&amp;CHAR(9)&amp;CHAR(9)&amp;"&lt;skill&gt;"&amp;AJ63&amp;"&lt;/skill&gt;"&amp;CHAR(13)&amp;CHAR(9)&amp;CHAR(9)&amp;"&lt;vulnerable&gt;"&amp;AO63&amp;"&lt;/vulnerable&gt;"&amp;CHAR(13)&amp;CHAR(9)&amp;CHAR(9)&amp;"&lt;resist&gt;"&amp;AP63&amp;"&lt;/resist&gt;"&amp;CHAR(13)&amp;CHAR(9)&amp;CHAR(9)&amp;"&lt;immune&gt;"&amp;AQ63&amp;"&lt;/immune&gt;"&amp;CHAR(13)&amp;CHAR(9)&amp;CHAR(9)&amp;"&lt;conditionImmune&gt;"&amp;AR63&amp;"&lt;/conditionImmune&gt;"&amp;CHAR(13)&amp;CHAR(9)&amp;CHAR(9)&amp;"&lt;senses&gt;"&amp;AM63&amp;"&lt;/senses&gt;"&amp;CHAR(13)&amp;CHAR(9)&amp;CHAR(9)&amp;"&lt;passive&gt;"&amp;AN63&amp;"&lt;/passive&gt;"&amp;CHAR(13)&amp;CHAR(9)&amp;CHAR(9)&amp;"&lt;languages&gt;"&amp;AS63&amp;"&lt;/languages&gt;"&amp;CHAR(13)&amp;CHAR(9)&amp;CHAR(9)&amp;"&lt;cr&gt;"&amp;O63&amp;"&lt;/cr&gt;"&amp;F63&amp;G63&amp;H63&amp;I63&amp;J63&amp;K63&amp;IF(C63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3" s="3">
        <f>IF(COTM=TRUE,MAX(CL63,CM63,CN63),MAX(CK63,CM63,CN63))</f>
        <v>2</v>
      </c>
      <c r="C63" s="11" t="str">
        <f>IF(COTM=FALSE,"",IF(DruidLevel&gt;5,"Y",""))</f>
        <v/>
      </c>
      <c r="D63" s="3" t="s">
        <v>173</v>
      </c>
      <c r="E63" s="3" t="str">
        <f>T63&amp;" ft."&amp;IF(U63+V63+W63+X63=0,"",", ")&amp;IF(ISBLANK(U63),"","burrow "&amp;U63&amp;" ft."&amp;IF(V63+W63+X63=0,"",", "))&amp;IF(ISBLANK(V63),"","climb "&amp;V63&amp;" ft."&amp;IF(W63+X63=0,"",", "))&amp;IF(ISBLANK(W63),"","fly "&amp;W63&amp;" ft."&amp;IF(X63=0,"",", "))&amp;IF(ISBLANK(X63),"","swim "&amp;X63&amp;" ft.")</f>
        <v>40 ft.</v>
      </c>
      <c r="F63" s="3" t="str">
        <f>IF(ISBLANK(AT63),"",CHAR(13)&amp;CHAR(9)&amp;CHAR(9)&amp;"&lt;"&amp;AU63&amp;"&gt;"&amp;CHAR(13)&amp;CHAR(9)&amp;CHAR(9)&amp;CHAR(9)&amp;"&lt;name&gt;"&amp;AT63&amp;"&lt;/name&gt;"&amp;CHAR(13)&amp;CHAR(9)&amp;CHAR(9)&amp;CHAR(9)&amp;"&lt;text&gt;"&amp;AV63&amp;"&lt;/text&gt;"&amp;IF(ISBLANK(AX63),"",CHAR(13)&amp;CHAR(9)&amp;CHAR(9)&amp;CHAR(9)&amp;"&lt;attack&gt;"&amp;AX63&amp;"|"&amp;AY63&amp;"|"&amp;AZ63&amp;"&lt;/attack&gt;")&amp;CHAR(13)&amp;CHAR(9)&amp;CHAR(9)&amp;"&lt;/"&amp;AU63&amp;"&gt;")</f>
        <v>_x000D_		&lt;trait&gt;_x000D_			&lt;name&gt;Keen Hearing and Smell&lt;/name&gt;_x000D_			&lt;text&gt;The jackal has advantage on Wisdom (Perception) checks that rely on hearing or smell.&lt;/text&gt;_x000D_		&lt;/trait&gt;</v>
      </c>
      <c r="G63" s="3" t="str">
        <f>IF(ISBLANK(BA63),"",CHAR(13)&amp;CHAR(9)&amp;CHAR(9)&amp;"&lt;"&amp;BB63&amp;"&gt;"&amp;CHAR(13)&amp;CHAR(9)&amp;CHAR(9)&amp;CHAR(9)&amp;"&lt;name&gt;"&amp;BA63&amp;"&lt;/name&gt;"&amp;CHAR(13)&amp;CHAR(9)&amp;CHAR(9)&amp;CHAR(9)&amp;"&lt;text&gt;"&amp;BC63&amp;"&lt;/text&gt;"&amp;IF(ISBLANK(BE63),"",CHAR(13)&amp;CHAR(9)&amp;CHAR(9)&amp;CHAR(9)&amp;"&lt;attack&gt;"&amp;BE63&amp;"|"&amp;BF63&amp;"|"&amp;BG63&amp;"&lt;/attack&gt;")&amp;CHAR(13)&amp;CHAR(9)&amp;CHAR(9)&amp;"&lt;/"&amp;BB63&amp;"&gt;")</f>
        <v>_x000D_		&lt;trait&gt;_x000D_			&lt;name&gt;Pack Tactics&lt;/name&gt;_x000D_			&lt;text&gt;The jackal has advantage on an attack roll against a creature if at least one of the jackal's allies is within 5 feet of the creature and the ally isn't incapacitated.&lt;/text&gt;_x000D_		&lt;/trait&gt;</v>
      </c>
      <c r="H63" s="3" t="str">
        <f>IF(ISBLANK(BH63),"",CHAR(13)&amp;CHAR(9)&amp;CHAR(9)&amp;"&lt;"&amp;BI63&amp;"&gt;"&amp;CHAR(13)&amp;CHAR(9)&amp;CHAR(9)&amp;CHAR(9)&amp;"&lt;name&gt;"&amp;BH63&amp;"&lt;/name&gt;"&amp;CHAR(13)&amp;CHAR(9)&amp;CHAR(9)&amp;CHAR(9)&amp;"&lt;text&gt;"&amp;BJ63&amp;"&lt;/text&gt;"&amp;IF(ISBLANK(BL63),"",CHAR(13)&amp;CHAR(9)&amp;CHAR(9)&amp;CHAR(9)&amp;"&lt;attack&gt;"&amp;BL63&amp;"|"&amp;BM63&amp;"|"&amp;BN63&amp;"&lt;/attack&gt;")&amp;CHAR(13)&amp;CHAR(9)&amp;CHAR(9)&amp;"&lt;/"&amp;BI63&amp;"&gt;")</f>
        <v>_x000D_		&lt;action&gt;_x000D_			&lt;name&gt;Bite&lt;/name&gt;_x000D_			&lt;text&gt;Melee Weapon Attack: +1 to hit, reach 5 ft., one target. Hit: 1 (1d4 - 1) piercing damage.&lt;/text&gt;_x000D_			&lt;attack&gt;Bite|1|1d4-1&lt;/attack&gt;_x000D_		&lt;/action&gt;</v>
      </c>
      <c r="I63" s="3" t="str">
        <f>IF(ISBLANK(BO63),"",CHAR(13)&amp;CHAR(9)&amp;CHAR(9)&amp;"&lt;"&amp;BP63&amp;"&gt;"&amp;CHAR(13)&amp;CHAR(9)&amp;CHAR(9)&amp;CHAR(9)&amp;"&lt;name&gt;"&amp;BO63&amp;"&lt;/name&gt;"&amp;CHAR(13)&amp;CHAR(9)&amp;CHAR(9)&amp;CHAR(9)&amp;"&lt;text&gt;"&amp;BQ63&amp;"&lt;/text&gt;"&amp;IF(ISBLANK(BS63),"",CHAR(13)&amp;CHAR(9)&amp;CHAR(9)&amp;CHAR(9)&amp;"&lt;attack&gt;"&amp;BS63&amp;"|"&amp;BT63&amp;"|"&amp;BU63&amp;"&lt;/attack&gt;")&amp;CHAR(13)&amp;CHAR(9)&amp;CHAR(9)&amp;"&lt;/"&amp;BP63&amp;"&gt;")</f>
        <v/>
      </c>
      <c r="J63" s="3" t="str">
        <f>IF(ISBLANK(BV63),"",CHAR(13)&amp;CHAR(9)&amp;CHAR(9)&amp;"&lt;"&amp;BW63&amp;"&gt;"&amp;CHAR(13)&amp;CHAR(9)&amp;CHAR(9)&amp;CHAR(9)&amp;"&lt;name&gt;"&amp;BV63&amp;"&lt;/name&gt;"&amp;CHAR(13)&amp;CHAR(9)&amp;CHAR(9)&amp;CHAR(9)&amp;"&lt;text&gt;"&amp;BX63&amp;"&lt;/text&gt;"&amp;IF(ISBLANK(BZ63),"",CHAR(13)&amp;CHAR(9)&amp;CHAR(9)&amp;CHAR(9)&amp;"&lt;attack&gt;"&amp;BZ63&amp;"|"&amp;CA63&amp;"|"&amp;CB63&amp;"&lt;/attack&gt;")&amp;CHAR(13)&amp;CHAR(9)&amp;CHAR(9)&amp;"&lt;/"&amp;BW63&amp;"&gt;")</f>
        <v/>
      </c>
      <c r="K63" s="3" t="str">
        <f>IF(ISBLANK(CC63),"",CHAR(13)&amp;CHAR(9)&amp;CHAR(9)&amp;"&lt;"&amp;CD63&amp;"&gt;"&amp;CHAR(13)&amp;CHAR(9)&amp;CHAR(9)&amp;CHAR(9)&amp;"&lt;name&gt;"&amp;CC63&amp;"&lt;/name&gt;"&amp;CHAR(13)&amp;CHAR(9)&amp;CHAR(9)&amp;CHAR(9)&amp;"&lt;text&gt;"&amp;CE63&amp;"&lt;/text&gt;"&amp;IF(ISBLANK(CG63),"",CHAR(13)&amp;CHAR(9)&amp;CHAR(9)&amp;CHAR(9)&amp;"&lt;attack&gt;"&amp;CG63&amp;"|"&amp;CH63&amp;"|"&amp;CI63&amp;"&lt;/attack&gt;")&amp;CHAR(13)&amp;CHAR(9)&amp;CHAR(9)&amp;"&lt;/"&amp;CD63&amp;"&gt;")</f>
        <v/>
      </c>
      <c r="L63" s="1" t="s">
        <v>22</v>
      </c>
      <c r="M63" s="1" t="s">
        <v>275</v>
      </c>
      <c r="N63" s="1">
        <f>DruidAlignment</f>
        <v>0</v>
      </c>
      <c r="O63" s="2">
        <v>0</v>
      </c>
      <c r="P63" s="1" t="s">
        <v>11</v>
      </c>
      <c r="Q63" s="1">
        <v>12</v>
      </c>
      <c r="R63" s="1"/>
      <c r="S63" s="1">
        <v>3</v>
      </c>
      <c r="T63" s="1">
        <v>40</v>
      </c>
      <c r="Y63" s="1">
        <v>8</v>
      </c>
      <c r="Z63" s="1">
        <v>15</v>
      </c>
      <c r="AA63" s="1">
        <v>11</v>
      </c>
      <c r="AB63" s="10">
        <f>DruidInt</f>
        <v>0</v>
      </c>
      <c r="AC63" s="10">
        <f>DruidWis</f>
        <v>0</v>
      </c>
      <c r="AD63" s="10">
        <f>DruidCha</f>
        <v>0</v>
      </c>
      <c r="AE63" s="12"/>
      <c r="AF63" s="12"/>
      <c r="AG63" s="12"/>
      <c r="AH63" s="12" t="s">
        <v>173</v>
      </c>
      <c r="AI63" s="12" t="str">
        <f>IF(ISBLANK(DruidAcrobatics),"",", Acrobatics +"&amp;DruidAcrobatics)&amp;IF(ISBLANK(DruidAnimalHandling),"",", Animal Handling +"&amp;DruidAnimalHandling)&amp;IF(ISBLANK(DruidArcana),"",", Arcana +"&amp;DruidArcana)&amp;IF(DruidAthletics+AE63=0,"",", Athletics +"&amp;MAX(DruidAthletics,AE63))&amp;IF(ISBLANK(DruidDeception),"",",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+"&amp;DruidNature)&amp;IF(DruidPerception+AF63=0,"",", Perception +"&amp;MAX(DruidPerception,AF63))&amp;IF(ISBLANK(DruidPerformance),"",", Performance +"&amp;DruidPerformance)&amp;IF(ISBLANK(DruidPersuasion),"",", Persuasion +"&amp;DruidPersuasion)&amp;IF(ISBLANK(DruidReligion),"",", Religion +"&amp;DruidReligion)&amp;IF(ISBLANK(DruidSleightofHand),"",", Sleight of Hand +"&amp;DruidSleightofHand)&amp;IF(DruidStealth+AG63=0,"",", Stealth +"&amp;MAX(DruidStealth,AG63))&amp;IF(ISBLANK(DruidSurvival),"",", Survival +"&amp;DruidSurvival)</f>
        <v/>
      </c>
      <c r="AJ63" s="1" t="e">
        <f>RIGHT(AI63,LEN(AI63)-2)</f>
        <v>#VALUE!</v>
      </c>
      <c r="AK6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3" s="1" t="s">
        <v>173</v>
      </c>
      <c r="AN63" s="3">
        <f>IF(DruidPerception+AF63=0,10+(ROUNDDOWN((AC63-10)/2,0)),10+MAX(DruidPerception,AF63))</f>
        <v>5</v>
      </c>
      <c r="AT63" s="3" t="s">
        <v>28</v>
      </c>
      <c r="AU63" s="3" t="s">
        <v>148</v>
      </c>
      <c r="AV63" s="3" t="s">
        <v>345</v>
      </c>
      <c r="AW63" s="3" t="s">
        <v>173</v>
      </c>
      <c r="AZ63" s="3"/>
      <c r="BA63" s="3" t="s">
        <v>12</v>
      </c>
      <c r="BB63" s="3" t="s">
        <v>148</v>
      </c>
      <c r="BC63" s="3" t="s">
        <v>486</v>
      </c>
      <c r="BD63" s="3" t="s">
        <v>173</v>
      </c>
      <c r="BG63" s="3"/>
      <c r="BH63" s="3" t="s">
        <v>161</v>
      </c>
      <c r="BI63" s="3" t="s">
        <v>150</v>
      </c>
      <c r="BJ63" s="3" t="s">
        <v>508</v>
      </c>
      <c r="BK63" s="3" t="s">
        <v>173</v>
      </c>
      <c r="BL63" s="3" t="s">
        <v>161</v>
      </c>
      <c r="BM63" s="3">
        <v>1</v>
      </c>
      <c r="BN63" s="3" t="s">
        <v>210</v>
      </c>
      <c r="BR63" s="3" t="s">
        <v>173</v>
      </c>
      <c r="BY63" s="3" t="s">
        <v>173</v>
      </c>
      <c r="CJ63" s="6">
        <v>0</v>
      </c>
      <c r="CK63" s="6">
        <f>IF(CJ63&lt;0.26,2,IF(CJ63&lt;0.51,4,IF(CJ63&lt;1.1,8,99)))</f>
        <v>2</v>
      </c>
      <c r="CL63" s="3">
        <f>IF(M63="Elemental",10,IF(CJ63&lt;2,2,CJ63*3))</f>
        <v>2</v>
      </c>
      <c r="CM63" s="3">
        <f>IF(W63&gt;0,8,0)</f>
        <v>0</v>
      </c>
      <c r="CN63" s="3">
        <f>IF(X63&gt;0,4,0)</f>
        <v>0</v>
      </c>
    </row>
    <row r="64" spans="1:92">
      <c r="A64" s="3" t="str">
        <f>IF(DruidLevel&lt;B64,"",CHAR(9)&amp;"&lt;monster&gt;"&amp;CHAR(13)&amp;CHAR(9)&amp;CHAR(9)&amp;"&lt;name&gt;"&amp;L64&amp;" (Wild Shape)&lt;/name&gt;"&amp;CHAR(13)&amp;CHAR(9)&amp;CHAR(9)&amp;"&lt;size&gt;"&amp;LEFT(P64,1)&amp;"&lt;/size&gt;"&amp;CHAR(13)&amp;CHAR(9)&amp;CHAR(9)&amp;"&lt;type&gt;"&amp;M64&amp;"&lt;/type&gt;"&amp;CHAR(13)&amp;CHAR(9)&amp;CHAR(9)&amp;"&lt;alignment&gt;"&amp;N64&amp;"&lt;/alignment&gt;"&amp;CHAR(13)&amp;CHAR(9)&amp;CHAR(9)&amp;"&lt;ac&gt;"&amp;Q64&amp;IF(ISBLANK(R64),""," ("&amp;R64&amp;")")&amp;"&lt;/ac&gt;"&amp;CHAR(13)&amp;CHAR(9)&amp;CHAR(9)&amp;"&lt;hp&gt;"&amp;S64&amp;"&lt;/hp&gt;"&amp;CHAR(13)&amp;CHAR(9)&amp;CHAR(9)&amp;"&lt;speed&gt;"&amp;E64&amp;"&lt;/speed&gt;"&amp;CHAR(13)&amp;CHAR(9)&amp;CHAR(9)&amp;"&lt;str&gt;"&amp;Y64&amp;"&lt;/str&gt;&lt;dex&gt;"&amp;Z64&amp;"&lt;/dex&gt;&lt;con&gt;"&amp;AA64&amp;"&lt;/con&gt;&lt;int&gt;"&amp;AB64&amp;"&lt;/int&gt;&lt;wis&gt;"&amp;AC64&amp;"&lt;/wis&gt;&lt;cha&gt;"&amp;AD64&amp;"&lt;/cha&gt;"&amp;CHAR(13)&amp;CHAR(9)&amp;CHAR(9)&amp;"&lt;save&gt;"&amp;AK64&amp;"&lt;/save&gt;"&amp;CHAR(13)&amp;CHAR(9)&amp;CHAR(9)&amp;"&lt;skill&gt;"&amp;AJ64&amp;"&lt;/skill&gt;"&amp;CHAR(13)&amp;CHAR(9)&amp;CHAR(9)&amp;"&lt;vulnerable&gt;"&amp;AO64&amp;"&lt;/vulnerable&gt;"&amp;CHAR(13)&amp;CHAR(9)&amp;CHAR(9)&amp;"&lt;resist&gt;"&amp;AP64&amp;"&lt;/resist&gt;"&amp;CHAR(13)&amp;CHAR(9)&amp;CHAR(9)&amp;"&lt;immune&gt;"&amp;AQ64&amp;"&lt;/immune&gt;"&amp;CHAR(13)&amp;CHAR(9)&amp;CHAR(9)&amp;"&lt;conditionImmune&gt;"&amp;AR64&amp;"&lt;/conditionImmune&gt;"&amp;CHAR(13)&amp;CHAR(9)&amp;CHAR(9)&amp;"&lt;senses&gt;"&amp;AM64&amp;"&lt;/senses&gt;"&amp;CHAR(13)&amp;CHAR(9)&amp;CHAR(9)&amp;"&lt;passive&gt;"&amp;AN64&amp;"&lt;/passive&gt;"&amp;CHAR(13)&amp;CHAR(9)&amp;CHAR(9)&amp;"&lt;languages&gt;"&amp;AS64&amp;"&lt;/languages&gt;"&amp;CHAR(13)&amp;CHAR(9)&amp;CHAR(9)&amp;"&lt;cr&gt;"&amp;O64&amp;"&lt;/cr&gt;"&amp;F64&amp;G64&amp;H64&amp;I64&amp;J64&amp;K64&amp;IF(C64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4" s="3">
        <f>IF(COTM=TRUE,MAX(CL64,CM64,CN64),MAX(CK64,CM64,CN64))</f>
        <v>99</v>
      </c>
      <c r="C64" s="11" t="str">
        <f>IF(COTM=FALSE,"",IF(DruidLevel&gt;5,"Y",""))</f>
        <v/>
      </c>
      <c r="D64" s="3" t="s">
        <v>173</v>
      </c>
      <c r="E64" s="3" t="str">
        <f>T64&amp;" ft."&amp;IF(U64+V64+W64+X64=0,"",", ")&amp;IF(ISBLANK(U64),"","burrow "&amp;U64&amp;" ft."&amp;IF(V64+W64+X64=0,"",", "))&amp;IF(ISBLANK(V64),"","climb "&amp;V64&amp;" ft."&amp;IF(W64+X64=0,"",", "))&amp;IF(ISBLANK(W64),"","fly "&amp;W64&amp;" ft."&amp;IF(X64=0,"",", "))&amp;IF(ISBLANK(X64),"","swim "&amp;X64&amp;" ft.")</f>
        <v>0 ft., swim 60 ft.</v>
      </c>
      <c r="F64" s="3" t="str">
        <f>IF(ISBLANK(AT64),"",CHAR(13)&amp;CHAR(9)&amp;CHAR(9)&amp;"&lt;"&amp;AU64&amp;"&gt;"&amp;CHAR(13)&amp;CHAR(9)&amp;CHAR(9)&amp;CHAR(9)&amp;"&lt;name&gt;"&amp;AT64&amp;"&lt;/name&gt;"&amp;CHAR(13)&amp;CHAR(9)&amp;CHAR(9)&amp;CHAR(9)&amp;"&lt;text&gt;"&amp;AV64&amp;"&lt;/text&gt;"&amp;IF(ISBLANK(AX64),"",CHAR(13)&amp;CHAR(9)&amp;CHAR(9)&amp;CHAR(9)&amp;"&lt;attack&gt;"&amp;AX64&amp;"|"&amp;AY64&amp;"|"&amp;AZ64&amp;"&lt;/attack&gt;")&amp;CHAR(13)&amp;CHAR(9)&amp;CHAR(9)&amp;"&lt;/"&amp;AU64&amp;"&gt;")</f>
        <v>_x000D_		&lt;trait&gt;_x000D_			&lt;name&gt;Echolocation&lt;/name&gt;_x000D_			&lt;text&gt;The whale can't use its blindsight while deafened.&lt;/text&gt;_x000D_		&lt;/trait&gt;</v>
      </c>
      <c r="G64" s="3" t="str">
        <f>IF(ISBLANK(BA64),"",CHAR(13)&amp;CHAR(9)&amp;CHAR(9)&amp;"&lt;"&amp;BB64&amp;"&gt;"&amp;CHAR(13)&amp;CHAR(9)&amp;CHAR(9)&amp;CHAR(9)&amp;"&lt;name&gt;"&amp;BA64&amp;"&lt;/name&gt;"&amp;CHAR(13)&amp;CHAR(9)&amp;CHAR(9)&amp;CHAR(9)&amp;"&lt;text&gt;"&amp;BC64&amp;"&lt;/text&gt;"&amp;IF(ISBLANK(BE64),"",CHAR(13)&amp;CHAR(9)&amp;CHAR(9)&amp;CHAR(9)&amp;"&lt;attack&gt;"&amp;BE64&amp;"|"&amp;BF64&amp;"|"&amp;BG64&amp;"&lt;/attack&gt;")&amp;CHAR(13)&amp;CHAR(9)&amp;CHAR(9)&amp;"&lt;/"&amp;BB64&amp;"&gt;")</f>
        <v>_x000D_		&lt;trait&gt;_x000D_			&lt;name&gt;Hold Breath&lt;/name&gt;_x000D_			&lt;text&gt;The whale can hold its breath for 30 minutes&lt;/text&gt;_x000D_		&lt;/trait&gt;</v>
      </c>
      <c r="H64" s="3" t="str">
        <f>IF(ISBLANK(BH64),"",CHAR(13)&amp;CHAR(9)&amp;CHAR(9)&amp;"&lt;"&amp;BI64&amp;"&gt;"&amp;CHAR(13)&amp;CHAR(9)&amp;CHAR(9)&amp;CHAR(9)&amp;"&lt;name&gt;"&amp;BH64&amp;"&lt;/name&gt;"&amp;CHAR(13)&amp;CHAR(9)&amp;CHAR(9)&amp;CHAR(9)&amp;"&lt;text&gt;"&amp;BJ64&amp;"&lt;/text&gt;"&amp;IF(ISBLANK(BL64),"",CHAR(13)&amp;CHAR(9)&amp;CHAR(9)&amp;CHAR(9)&amp;"&lt;attack&gt;"&amp;BL64&amp;"|"&amp;BM64&amp;"|"&amp;BN64&amp;"&lt;/attack&gt;")&amp;CHAR(13)&amp;CHAR(9)&amp;CHAR(9)&amp;"&lt;/"&amp;BI64&amp;"&gt;")</f>
        <v>_x000D_		&lt;trait&gt;_x000D_			&lt;name&gt;Keen Hearing&lt;/name&gt;_x000D_			&lt;text&gt;The whale has advantage on Wisdom (Perception) checks that rely on hearing.&lt;/text&gt;_x000D_		&lt;/trait&gt;</v>
      </c>
      <c r="I64" s="3" t="str">
        <f>IF(ISBLANK(BO64),"",CHAR(13)&amp;CHAR(9)&amp;CHAR(9)&amp;"&lt;"&amp;BP64&amp;"&gt;"&amp;CHAR(13)&amp;CHAR(9)&amp;CHAR(9)&amp;CHAR(9)&amp;"&lt;name&gt;"&amp;BO64&amp;"&lt;/name&gt;"&amp;CHAR(13)&amp;CHAR(9)&amp;CHAR(9)&amp;CHAR(9)&amp;"&lt;text&gt;"&amp;BQ64&amp;"&lt;/text&gt;"&amp;IF(ISBLANK(BS64),"",CHAR(13)&amp;CHAR(9)&amp;CHAR(9)&amp;CHAR(9)&amp;"&lt;attack&gt;"&amp;BS64&amp;"|"&amp;BT64&amp;"|"&amp;BU64&amp;"&lt;/attack&gt;")&amp;CHAR(13)&amp;CHAR(9)&amp;CHAR(9)&amp;"&lt;/"&amp;BP64&amp;"&gt;")</f>
        <v>_x000D_		&lt;action&gt;_x000D_			&lt;name&gt;Bite&lt;/name&gt;_x000D_			&lt;text&gt;Melee Weapon Attack: +6 to hit, reach 5 ft., one target. Hit: 21 (5d6 + 4) piercing damage.&lt;/text&gt;_x000D_		&lt;/action&gt;</v>
      </c>
      <c r="J64" s="3" t="str">
        <f>IF(ISBLANK(BV64),"",CHAR(13)&amp;CHAR(9)&amp;CHAR(9)&amp;"&lt;"&amp;BW64&amp;"&gt;"&amp;CHAR(13)&amp;CHAR(9)&amp;CHAR(9)&amp;CHAR(9)&amp;"&lt;name&gt;"&amp;BV64&amp;"&lt;/name&gt;"&amp;CHAR(13)&amp;CHAR(9)&amp;CHAR(9)&amp;CHAR(9)&amp;"&lt;text&gt;"&amp;BX64&amp;"&lt;/text&gt;"&amp;IF(ISBLANK(BZ64),"",CHAR(13)&amp;CHAR(9)&amp;CHAR(9)&amp;CHAR(9)&amp;"&lt;attack&gt;"&amp;BZ64&amp;"|"&amp;CA64&amp;"|"&amp;CB64&amp;"&lt;/attack&gt;")&amp;CHAR(13)&amp;CHAR(9)&amp;CHAR(9)&amp;"&lt;/"&amp;BW64&amp;"&gt;")</f>
        <v/>
      </c>
      <c r="K64" s="3" t="str">
        <f>IF(ISBLANK(CC64),"",CHAR(13)&amp;CHAR(9)&amp;CHAR(9)&amp;"&lt;"&amp;CD64&amp;"&gt;"&amp;CHAR(13)&amp;CHAR(9)&amp;CHAR(9)&amp;CHAR(9)&amp;"&lt;name&gt;"&amp;CC64&amp;"&lt;/name&gt;"&amp;CHAR(13)&amp;CHAR(9)&amp;CHAR(9)&amp;CHAR(9)&amp;"&lt;text&gt;"&amp;CE64&amp;"&lt;/text&gt;"&amp;IF(ISBLANK(CG64),"",CHAR(13)&amp;CHAR(9)&amp;CHAR(9)&amp;CHAR(9)&amp;"&lt;attack&gt;"&amp;CG64&amp;"|"&amp;CH64&amp;"|"&amp;CI64&amp;"&lt;/attack&gt;")&amp;CHAR(13)&amp;CHAR(9)&amp;CHAR(9)&amp;"&lt;/"&amp;CD64&amp;"&gt;")</f>
        <v/>
      </c>
      <c r="L64" s="1" t="s">
        <v>102</v>
      </c>
      <c r="M64" s="1" t="s">
        <v>275</v>
      </c>
      <c r="N64" s="1">
        <f>DruidAlignment</f>
        <v>0</v>
      </c>
      <c r="O64" s="2">
        <v>3</v>
      </c>
      <c r="P64" s="1" t="s">
        <v>80</v>
      </c>
      <c r="Q64" s="1">
        <v>12</v>
      </c>
      <c r="R64" s="1" t="s">
        <v>405</v>
      </c>
      <c r="S64" s="1">
        <v>90</v>
      </c>
      <c r="T64" s="1">
        <v>0</v>
      </c>
      <c r="X64" s="1">
        <v>60</v>
      </c>
      <c r="Y64" s="1">
        <v>19</v>
      </c>
      <c r="Z64" s="1">
        <v>10</v>
      </c>
      <c r="AA64" s="1">
        <v>13</v>
      </c>
      <c r="AB64" s="10">
        <f>DruidInt</f>
        <v>0</v>
      </c>
      <c r="AC64" s="10">
        <f>DruidWis</f>
        <v>0</v>
      </c>
      <c r="AD64" s="10">
        <f>DruidCha</f>
        <v>0</v>
      </c>
      <c r="AE64" s="12"/>
      <c r="AF64" s="12"/>
      <c r="AG64" s="12"/>
      <c r="AH64" s="12" t="s">
        <v>173</v>
      </c>
      <c r="AI64" s="12" t="str">
        <f>IF(ISBLANK(DruidAcrobatics),"",", Acrobatics +"&amp;DruidAcrobatics)&amp;IF(ISBLANK(DruidAnimalHandling),"",", Animal Handling +"&amp;DruidAnimalHandling)&amp;IF(ISBLANK(DruidArcana),"",", Arcana +"&amp;DruidArcana)&amp;IF(DruidAthletics+AE64=0,"",", Athletics +"&amp;MAX(DruidAthletics,AE64))&amp;IF(ISBLANK(DruidDeception),"",",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+"&amp;DruidNature)&amp;IF(DruidPerception+AF64=0,"",", Perception +"&amp;MAX(DruidPerception,AF64))&amp;IF(ISBLANK(DruidPerformance),"",", Performance +"&amp;DruidPerformance)&amp;IF(ISBLANK(DruidPersuasion),"",", Persuasion +"&amp;DruidPersuasion)&amp;IF(ISBLANK(DruidReligion),"",", Religion +"&amp;DruidReligion)&amp;IF(ISBLANK(DruidSleightofHand),"",", Sleight of Hand +"&amp;DruidSleightofHand)&amp;IF(DruidStealth+AG64=0,"",", Stealth +"&amp;MAX(DruidStealth,AG64))&amp;IF(ISBLANK(DruidSurvival),"",", Survival +"&amp;DruidSurvival)</f>
        <v/>
      </c>
      <c r="AJ64" s="1" t="e">
        <f>RIGHT(AI64,LEN(AI64)-2)</f>
        <v>#VALUE!</v>
      </c>
      <c r="AK6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4" s="1" t="s">
        <v>173</v>
      </c>
      <c r="AM64" s="1" t="s">
        <v>184</v>
      </c>
      <c r="AN64" s="3">
        <f>IF(DruidPerception+AF64=0,10+(ROUNDDOWN((AC64-10)/2,0)),10+MAX(DruidPerception,AF64))</f>
        <v>5</v>
      </c>
      <c r="AO64" s="1"/>
      <c r="AP64" s="1"/>
      <c r="AQ64" s="1"/>
      <c r="AR64" s="1"/>
      <c r="AS64" s="1"/>
      <c r="AT64" s="3" t="s">
        <v>213</v>
      </c>
      <c r="AU64" s="3" t="s">
        <v>148</v>
      </c>
      <c r="AV64" s="3" t="s">
        <v>501</v>
      </c>
      <c r="AW64" s="3" t="s">
        <v>173</v>
      </c>
      <c r="AZ64" s="3"/>
      <c r="BA64" s="3" t="s">
        <v>71</v>
      </c>
      <c r="BB64" s="3" t="s">
        <v>148</v>
      </c>
      <c r="BC64" s="3" t="s">
        <v>346</v>
      </c>
      <c r="BD64" s="3" t="s">
        <v>173</v>
      </c>
      <c r="BG64" s="3"/>
      <c r="BH64" s="3" t="s">
        <v>214</v>
      </c>
      <c r="BI64" s="3" t="s">
        <v>148</v>
      </c>
      <c r="BJ64" s="3" t="s">
        <v>347</v>
      </c>
      <c r="BK64" s="3" t="s">
        <v>173</v>
      </c>
      <c r="BN64" s="3"/>
      <c r="BO64" s="3" t="s">
        <v>161</v>
      </c>
      <c r="BP64" s="3" t="s">
        <v>150</v>
      </c>
      <c r="BQ64" s="3" t="s">
        <v>351</v>
      </c>
      <c r="BR64" s="3" t="s">
        <v>161</v>
      </c>
      <c r="BT64" s="3">
        <v>6</v>
      </c>
      <c r="BU64" s="3" t="s">
        <v>350</v>
      </c>
      <c r="BY64" s="3" t="s">
        <v>173</v>
      </c>
      <c r="CJ64" s="6">
        <v>3</v>
      </c>
      <c r="CK64" s="6">
        <f>IF(CJ64&lt;0.26,2,IF(CJ64&lt;0.51,4,IF(CJ64&lt;1.1,8,99)))</f>
        <v>99</v>
      </c>
      <c r="CL64" s="3">
        <f>IF(M64="Elemental",10,IF(CJ64&lt;2,2,CJ64*3))</f>
        <v>9</v>
      </c>
      <c r="CM64" s="3">
        <f>IF(W64&gt;0,8,0)</f>
        <v>0</v>
      </c>
      <c r="CN64" s="3">
        <f>IF(X64&gt;0,4,0)</f>
        <v>4</v>
      </c>
    </row>
    <row r="65" spans="1:92">
      <c r="A65" s="3" t="str">
        <f>IF(DruidLevel&lt;B65,"",CHAR(9)&amp;"&lt;monster&gt;"&amp;CHAR(13)&amp;CHAR(9)&amp;CHAR(9)&amp;"&lt;name&gt;"&amp;L65&amp;" (Wild Shape)&lt;/name&gt;"&amp;CHAR(13)&amp;CHAR(9)&amp;CHAR(9)&amp;"&lt;size&gt;"&amp;LEFT(P65,1)&amp;"&lt;/size&gt;"&amp;CHAR(13)&amp;CHAR(9)&amp;CHAR(9)&amp;"&lt;type&gt;"&amp;M65&amp;"&lt;/type&gt;"&amp;CHAR(13)&amp;CHAR(9)&amp;CHAR(9)&amp;"&lt;alignment&gt;"&amp;N65&amp;"&lt;/alignment&gt;"&amp;CHAR(13)&amp;CHAR(9)&amp;CHAR(9)&amp;"&lt;ac&gt;"&amp;Q65&amp;IF(ISBLANK(R65),""," ("&amp;R65&amp;")")&amp;"&lt;/ac&gt;"&amp;CHAR(13)&amp;CHAR(9)&amp;CHAR(9)&amp;"&lt;hp&gt;"&amp;S65&amp;"&lt;/hp&gt;"&amp;CHAR(13)&amp;CHAR(9)&amp;CHAR(9)&amp;"&lt;speed&gt;"&amp;E65&amp;"&lt;/speed&gt;"&amp;CHAR(13)&amp;CHAR(9)&amp;CHAR(9)&amp;"&lt;str&gt;"&amp;Y65&amp;"&lt;/str&gt;&lt;dex&gt;"&amp;Z65&amp;"&lt;/dex&gt;&lt;con&gt;"&amp;AA65&amp;"&lt;/con&gt;&lt;int&gt;"&amp;AB65&amp;"&lt;/int&gt;&lt;wis&gt;"&amp;AC65&amp;"&lt;/wis&gt;&lt;cha&gt;"&amp;AD65&amp;"&lt;/cha&gt;"&amp;CHAR(13)&amp;CHAR(9)&amp;CHAR(9)&amp;"&lt;save&gt;"&amp;AK65&amp;"&lt;/save&gt;"&amp;CHAR(13)&amp;CHAR(9)&amp;CHAR(9)&amp;"&lt;skill&gt;"&amp;AJ65&amp;"&lt;/skill&gt;"&amp;CHAR(13)&amp;CHAR(9)&amp;CHAR(9)&amp;"&lt;vulnerable&gt;"&amp;AO65&amp;"&lt;/vulnerable&gt;"&amp;CHAR(13)&amp;CHAR(9)&amp;CHAR(9)&amp;"&lt;resist&gt;"&amp;AP65&amp;"&lt;/resist&gt;"&amp;CHAR(13)&amp;CHAR(9)&amp;CHAR(9)&amp;"&lt;immune&gt;"&amp;AQ65&amp;"&lt;/immune&gt;"&amp;CHAR(13)&amp;CHAR(9)&amp;CHAR(9)&amp;"&lt;conditionImmune&gt;"&amp;AR65&amp;"&lt;/conditionImmune&gt;"&amp;CHAR(13)&amp;CHAR(9)&amp;CHAR(9)&amp;"&lt;senses&gt;"&amp;AM65&amp;"&lt;/senses&gt;"&amp;CHAR(13)&amp;CHAR(9)&amp;CHAR(9)&amp;"&lt;passive&gt;"&amp;AN65&amp;"&lt;/passive&gt;"&amp;CHAR(13)&amp;CHAR(9)&amp;CHAR(9)&amp;"&lt;languages&gt;"&amp;AS65&amp;"&lt;/languages&gt;"&amp;CHAR(13)&amp;CHAR(9)&amp;CHAR(9)&amp;"&lt;cr&gt;"&amp;O65&amp;"&lt;/cr&gt;"&amp;F65&amp;G65&amp;H65&amp;I65&amp;J65&amp;K65&amp;IF(C65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5" s="3">
        <f>IF(COTM=TRUE,MAX(CL65,CM65,CN65),MAX(CK65,CM65,CN65))</f>
        <v>8</v>
      </c>
      <c r="C65" s="11" t="str">
        <f>IF(COTM=FALSE,"",IF(DruidLevel&gt;5,"Y",""))</f>
        <v/>
      </c>
      <c r="D65" s="3" t="s">
        <v>173</v>
      </c>
      <c r="E65" s="3" t="str">
        <f>T65&amp;" ft."&amp;IF(U65+V65+W65+X65=0,"",", ")&amp;IF(ISBLANK(U65),"","burrow "&amp;U65&amp;" ft."&amp;IF(V65+W65+X65=0,"",", "))&amp;IF(ISBLANK(V65),"","climb "&amp;V65&amp;" ft."&amp;IF(W65+X65=0,"",", "))&amp;IF(ISBLANK(W65),"","fly "&amp;W65&amp;" ft."&amp;IF(X65=0,"",", "))&amp;IF(ISBLANK(X65),"","swim "&amp;X65&amp;" ft.")</f>
        <v>50 ft.</v>
      </c>
      <c r="F65" s="3" t="str">
        <f>IF(ISBLANK(AT65),"",CHAR(13)&amp;CHAR(9)&amp;CHAR(9)&amp;"&lt;"&amp;AU65&amp;"&gt;"&amp;CHAR(13)&amp;CHAR(9)&amp;CHAR(9)&amp;CHAR(9)&amp;"&lt;name&gt;"&amp;AT65&amp;"&lt;/name&gt;"&amp;CHAR(13)&amp;CHAR(9)&amp;CHAR(9)&amp;CHAR(9)&amp;"&lt;text&gt;"&amp;AV65&amp;"&lt;/text&gt;"&amp;IF(ISBLANK(AX65),"",CHAR(13)&amp;CHAR(9)&amp;CHAR(9)&amp;CHAR(9)&amp;"&lt;attack&gt;"&amp;AX65&amp;"|"&amp;AY65&amp;"|"&amp;AZ65&amp;"&lt;/attack&gt;")&amp;CHAR(13)&amp;CHAR(9)&amp;CHAR(9)&amp;"&lt;/"&amp;AU65&amp;"&gt;")</f>
        <v>_x000D_		&lt;trait&gt;_x000D_			&lt;name&gt;Keen Smell&lt;/name&gt;_x000D_			&lt;text&gt;The lion has advantage on Wisdom (Perception) checks that rely on smell.&lt;/text&gt;_x000D_		&lt;/trait&gt;</v>
      </c>
      <c r="G65" s="3" t="str">
        <f>IF(ISBLANK(BA65),"",CHAR(13)&amp;CHAR(9)&amp;CHAR(9)&amp;"&lt;"&amp;BB65&amp;"&gt;"&amp;CHAR(13)&amp;CHAR(9)&amp;CHAR(9)&amp;CHAR(9)&amp;"&lt;name&gt;"&amp;BA65&amp;"&lt;/name&gt;"&amp;CHAR(13)&amp;CHAR(9)&amp;CHAR(9)&amp;CHAR(9)&amp;"&lt;text&gt;"&amp;BC65&amp;"&lt;/text&gt;"&amp;IF(ISBLANK(BE65),"",CHAR(13)&amp;CHAR(9)&amp;CHAR(9)&amp;CHAR(9)&amp;"&lt;attack&gt;"&amp;BE65&amp;"|"&amp;BF65&amp;"|"&amp;BG65&amp;"&lt;/attack&gt;")&amp;CHAR(13)&amp;CHAR(9)&amp;CHAR(9)&amp;"&lt;/"&amp;BB65&amp;"&gt;")</f>
        <v>_x000D_		&lt;trait&gt;_x000D_			&lt;name&gt;Pack Tactics&lt;/name&gt;_x000D_			&lt;text&gt;The lion has advantage on an attack roll against a creature if at least one of the lion's allies is within 5 feet of the creature and the ally isn't incapacitated.&lt;/text&gt;_x000D_		&lt;/trait&gt;</v>
      </c>
      <c r="H65" s="3" t="str">
        <f>IF(ISBLANK(BH65),"",CHAR(13)&amp;CHAR(9)&amp;CHAR(9)&amp;"&lt;"&amp;BI65&amp;"&gt;"&amp;CHAR(13)&amp;CHAR(9)&amp;CHAR(9)&amp;CHAR(9)&amp;"&lt;name&gt;"&amp;BH65&amp;"&lt;/name&gt;"&amp;CHAR(13)&amp;CHAR(9)&amp;CHAR(9)&amp;CHAR(9)&amp;"&lt;text&gt;"&amp;BJ65&amp;"&lt;/text&gt;"&amp;IF(ISBLANK(BL65),"",CHAR(13)&amp;CHAR(9)&amp;CHAR(9)&amp;CHAR(9)&amp;"&lt;attack&gt;"&amp;BL65&amp;"|"&amp;BM65&amp;"|"&amp;BN65&amp;"&lt;/attack&gt;")&amp;CHAR(13)&amp;CHAR(9)&amp;CHAR(9)&amp;"&lt;/"&amp;BI65&amp;"&gt;")</f>
        <v>_x000D_		&lt;trait&gt;_x000D_			&lt;name&gt;Pounce&lt;/name&gt;_x000D_			&lt;text&gt;If the lion moves at least 20 feet straight toward a creature and then hits it with a claw attack on the same turn, that target must succeed on a DC 13 Strength saving throw or be knocked prone. If the target is prone, the lion can make one bite attack against it as a bonus action.&lt;/text&gt;_x000D_		&lt;/trait&gt;</v>
      </c>
      <c r="I65" s="3" t="str">
        <f>IF(ISBLANK(BO65),"",CHAR(13)&amp;CHAR(9)&amp;CHAR(9)&amp;"&lt;"&amp;BP65&amp;"&gt;"&amp;CHAR(13)&amp;CHAR(9)&amp;CHAR(9)&amp;CHAR(9)&amp;"&lt;name&gt;"&amp;BO65&amp;"&lt;/name&gt;"&amp;CHAR(13)&amp;CHAR(9)&amp;CHAR(9)&amp;CHAR(9)&amp;"&lt;text&gt;"&amp;BQ65&amp;"&lt;/text&gt;"&amp;IF(ISBLANK(BS65),"",CHAR(13)&amp;CHAR(9)&amp;CHAR(9)&amp;CHAR(9)&amp;"&lt;attack&gt;"&amp;BS65&amp;"|"&amp;BT65&amp;"|"&amp;BU65&amp;"&lt;/attack&gt;")&amp;CHAR(13)&amp;CHAR(9)&amp;CHAR(9)&amp;"&lt;/"&amp;BP65&amp;"&gt;")</f>
        <v>_x000D_		&lt;trait&gt;_x000D_			&lt;name&gt;Running Leap&lt;/name&gt;_x000D_			&lt;text&gt;With a 10-foot running start, the lion can long jump up to 25 feet.&lt;/text&gt;_x000D_		&lt;/trait&gt;</v>
      </c>
      <c r="J65" s="3" t="str">
        <f>IF(ISBLANK(BV65),"",CHAR(13)&amp;CHAR(9)&amp;CHAR(9)&amp;"&lt;"&amp;BW65&amp;"&gt;"&amp;CHAR(13)&amp;CHAR(9)&amp;CHAR(9)&amp;CHAR(9)&amp;"&lt;name&gt;"&amp;BV65&amp;"&lt;/name&gt;"&amp;CHAR(13)&amp;CHAR(9)&amp;CHAR(9)&amp;CHAR(9)&amp;"&lt;text&gt;"&amp;BX65&amp;"&lt;/text&gt;"&amp;IF(ISBLANK(BZ65),"",CHAR(13)&amp;CHAR(9)&amp;CHAR(9)&amp;CHAR(9)&amp;"&lt;attack&gt;"&amp;BZ65&amp;"|"&amp;CA65&amp;"|"&amp;CB65&amp;"&lt;/attack&gt;")&amp;CHAR(13)&amp;CHAR(9)&amp;CHAR(9)&amp;"&lt;/"&amp;BW65&amp;"&gt;")</f>
        <v>_x000D_		&lt;action&gt;_x000D_			&lt;name&gt;Bite&lt;/name&gt;_x000D_			&lt;text&gt;Melee Weapon Attack: +5 to hit, reach 5 ft., one target. Hit: 7 (1d8+3) piercing damage.&lt;/text&gt;_x000D_			&lt;attack&gt;Bite|5|1d8+3&lt;/attack&gt;_x000D_		&lt;/action&gt;</v>
      </c>
      <c r="K65" s="3" t="str">
        <f>IF(ISBLANK(CC65),"",CHAR(13)&amp;CHAR(9)&amp;CHAR(9)&amp;"&lt;"&amp;CD65&amp;"&gt;"&amp;CHAR(13)&amp;CHAR(9)&amp;CHAR(9)&amp;CHAR(9)&amp;"&lt;name&gt;"&amp;CC65&amp;"&lt;/name&gt;"&amp;CHAR(13)&amp;CHAR(9)&amp;CHAR(9)&amp;CHAR(9)&amp;"&lt;text&gt;"&amp;CE65&amp;"&lt;/text&gt;"&amp;IF(ISBLANK(CG65),"",CHAR(13)&amp;CHAR(9)&amp;CHAR(9)&amp;CHAR(9)&amp;"&lt;attack&gt;"&amp;CG65&amp;"|"&amp;CH65&amp;"|"&amp;CI65&amp;"&lt;/attack&gt;")&amp;CHAR(13)&amp;CHAR(9)&amp;CHAR(9)&amp;"&lt;/"&amp;CD65&amp;"&gt;")</f>
        <v>_x000D_		&lt;action&gt;_x000D_			&lt;name&gt;Claw&lt;/name&gt;_x000D_			&lt;text&gt;Melee Weapon Attack: +5 to hit, reach 5 ft., one target. Hit: 6 (1d6+3) slashing damage.&lt;/text&gt;_x000D_			&lt;attack&gt;Claw|5|1d6+3&lt;/attack&gt;_x000D_		&lt;/action&gt;</v>
      </c>
      <c r="L65" s="1" t="s">
        <v>55</v>
      </c>
      <c r="M65" s="1" t="s">
        <v>275</v>
      </c>
      <c r="N65" s="1">
        <f>DruidAlignment</f>
        <v>0</v>
      </c>
      <c r="O65" s="2">
        <v>1</v>
      </c>
      <c r="P65" s="1" t="s">
        <v>2</v>
      </c>
      <c r="Q65" s="1">
        <v>12</v>
      </c>
      <c r="R65" s="1"/>
      <c r="S65" s="1">
        <v>26</v>
      </c>
      <c r="T65" s="1">
        <v>50</v>
      </c>
      <c r="Y65" s="1">
        <v>17</v>
      </c>
      <c r="Z65" s="1">
        <v>15</v>
      </c>
      <c r="AA65" s="1">
        <v>13</v>
      </c>
      <c r="AB65" s="10">
        <f>DruidInt</f>
        <v>0</v>
      </c>
      <c r="AC65" s="10">
        <f>DruidWis</f>
        <v>0</v>
      </c>
      <c r="AD65" s="10">
        <f>DruidCha</f>
        <v>0</v>
      </c>
      <c r="AE65" s="12"/>
      <c r="AF65" s="12"/>
      <c r="AG65" s="12">
        <v>6</v>
      </c>
      <c r="AH65" s="12" t="s">
        <v>173</v>
      </c>
      <c r="AI65" s="12" t="str">
        <f>IF(ISBLANK(DruidAcrobatics),"",", Acrobatics +"&amp;DruidAcrobatics)&amp;IF(ISBLANK(DruidAnimalHandling),"",", Animal Handling +"&amp;DruidAnimalHandling)&amp;IF(ISBLANK(DruidArcana),"",", Arcana +"&amp;DruidArcana)&amp;IF(DruidAthletics+AE65=0,"",", Athletics +"&amp;MAX(DruidAthletics,AE65))&amp;IF(ISBLANK(DruidDeception),"",",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+"&amp;DruidNature)&amp;IF(DruidPerception+AF65=0,"",", Perception +"&amp;MAX(DruidPerception,AF65))&amp;IF(ISBLANK(DruidPerformance),"",", Performance +"&amp;DruidPerformance)&amp;IF(ISBLANK(DruidPersuasion),"",", Persuasion +"&amp;DruidPersuasion)&amp;IF(ISBLANK(DruidReligion),"",", Religion +"&amp;DruidReligion)&amp;IF(ISBLANK(DruidSleightofHand),"",", Sleight of Hand +"&amp;DruidSleightofHand)&amp;IF(DruidStealth+AG65=0,"",", Stealth +"&amp;MAX(DruidStealth,AG65))&amp;IF(ISBLANK(DruidSurvival),"",", Survival +"&amp;DruidSurvival)</f>
        <v>, Stealth +6</v>
      </c>
      <c r="AJ65" s="1" t="str">
        <f>RIGHT(AI65,LEN(AI65)-2)</f>
        <v>Stealth +6</v>
      </c>
      <c r="AK6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5" s="1" t="s">
        <v>173</v>
      </c>
      <c r="AN65" s="3">
        <f>IF(DruidPerception+AF65=0,10+(ROUNDDOWN((AC65-10)/2,0)),10+MAX(DruidPerception,AF65))</f>
        <v>5</v>
      </c>
      <c r="AT65" s="3" t="s">
        <v>14</v>
      </c>
      <c r="AU65" s="3" t="s">
        <v>148</v>
      </c>
      <c r="AV65" s="3" t="s">
        <v>352</v>
      </c>
      <c r="AW65" s="3" t="s">
        <v>173</v>
      </c>
      <c r="AZ65" s="3"/>
      <c r="BA65" s="3" t="s">
        <v>12</v>
      </c>
      <c r="BB65" s="3" t="s">
        <v>148</v>
      </c>
      <c r="BC65" s="3" t="s">
        <v>487</v>
      </c>
      <c r="BD65" s="3" t="s">
        <v>173</v>
      </c>
      <c r="BG65" s="3"/>
      <c r="BH65" s="3" t="s">
        <v>77</v>
      </c>
      <c r="BI65" s="3" t="s">
        <v>148</v>
      </c>
      <c r="BJ65" s="3" t="s">
        <v>353</v>
      </c>
      <c r="BK65" s="3" t="s">
        <v>173</v>
      </c>
      <c r="BN65" s="3"/>
      <c r="BO65" s="3" t="s">
        <v>354</v>
      </c>
      <c r="BP65" s="3" t="s">
        <v>148</v>
      </c>
      <c r="BQ65" s="3" t="s">
        <v>355</v>
      </c>
      <c r="BR65" s="3" t="s">
        <v>173</v>
      </c>
      <c r="BV65" s="3" t="s">
        <v>161</v>
      </c>
      <c r="BW65" s="3" t="s">
        <v>150</v>
      </c>
      <c r="BX65" s="3" t="s">
        <v>466</v>
      </c>
      <c r="BY65" s="3" t="s">
        <v>173</v>
      </c>
      <c r="BZ65" s="3" t="s">
        <v>161</v>
      </c>
      <c r="CA65" s="3">
        <v>5</v>
      </c>
      <c r="CB65" s="3" t="s">
        <v>329</v>
      </c>
      <c r="CC65" s="3" t="s">
        <v>164</v>
      </c>
      <c r="CD65" s="3" t="s">
        <v>150</v>
      </c>
      <c r="CE65" s="3" t="s">
        <v>467</v>
      </c>
      <c r="CG65" s="3" t="s">
        <v>164</v>
      </c>
      <c r="CH65" s="3">
        <v>5</v>
      </c>
      <c r="CI65" s="3" t="s">
        <v>171</v>
      </c>
      <c r="CJ65" s="6">
        <v>1</v>
      </c>
      <c r="CK65" s="6">
        <f>IF(CJ65&lt;0.26,2,IF(CJ65&lt;0.51,4,IF(CJ65&lt;1.1,8,99)))</f>
        <v>8</v>
      </c>
      <c r="CL65" s="3">
        <f>IF(M65="Elemental",10,IF(CJ65&lt;2,2,CJ65*3))</f>
        <v>2</v>
      </c>
      <c r="CM65" s="3">
        <f>IF(W65&gt;0,8,0)</f>
        <v>0</v>
      </c>
      <c r="CN65" s="3">
        <f>IF(X65&gt;0,4,0)</f>
        <v>0</v>
      </c>
    </row>
    <row r="66" spans="1:92">
      <c r="A66" s="3" t="str">
        <f>IF(DruidLevel&lt;B66,"",CHAR(9)&amp;"&lt;monster&gt;"&amp;CHAR(13)&amp;CHAR(9)&amp;CHAR(9)&amp;"&lt;name&gt;"&amp;L66&amp;" (Wild Shape)&lt;/name&gt;"&amp;CHAR(13)&amp;CHAR(9)&amp;CHAR(9)&amp;"&lt;size&gt;"&amp;LEFT(P66,1)&amp;"&lt;/size&gt;"&amp;CHAR(13)&amp;CHAR(9)&amp;CHAR(9)&amp;"&lt;type&gt;"&amp;M66&amp;"&lt;/type&gt;"&amp;CHAR(13)&amp;CHAR(9)&amp;CHAR(9)&amp;"&lt;alignment&gt;"&amp;N66&amp;"&lt;/alignment&gt;"&amp;CHAR(13)&amp;CHAR(9)&amp;CHAR(9)&amp;"&lt;ac&gt;"&amp;Q66&amp;IF(ISBLANK(R66),""," ("&amp;R66&amp;")")&amp;"&lt;/ac&gt;"&amp;CHAR(13)&amp;CHAR(9)&amp;CHAR(9)&amp;"&lt;hp&gt;"&amp;S66&amp;"&lt;/hp&gt;"&amp;CHAR(13)&amp;CHAR(9)&amp;CHAR(9)&amp;"&lt;speed&gt;"&amp;E66&amp;"&lt;/speed&gt;"&amp;CHAR(13)&amp;CHAR(9)&amp;CHAR(9)&amp;"&lt;str&gt;"&amp;Y66&amp;"&lt;/str&gt;&lt;dex&gt;"&amp;Z66&amp;"&lt;/dex&gt;&lt;con&gt;"&amp;AA66&amp;"&lt;/con&gt;&lt;int&gt;"&amp;AB66&amp;"&lt;/int&gt;&lt;wis&gt;"&amp;AC66&amp;"&lt;/wis&gt;&lt;cha&gt;"&amp;AD66&amp;"&lt;/cha&gt;"&amp;CHAR(13)&amp;CHAR(9)&amp;CHAR(9)&amp;"&lt;save&gt;"&amp;AK66&amp;"&lt;/save&gt;"&amp;CHAR(13)&amp;CHAR(9)&amp;CHAR(9)&amp;"&lt;skill&gt;"&amp;AJ66&amp;"&lt;/skill&gt;"&amp;CHAR(13)&amp;CHAR(9)&amp;CHAR(9)&amp;"&lt;vulnerable&gt;"&amp;AO66&amp;"&lt;/vulnerable&gt;"&amp;CHAR(13)&amp;CHAR(9)&amp;CHAR(9)&amp;"&lt;resist&gt;"&amp;AP66&amp;"&lt;/resist&gt;"&amp;CHAR(13)&amp;CHAR(9)&amp;CHAR(9)&amp;"&lt;immune&gt;"&amp;AQ66&amp;"&lt;/immune&gt;"&amp;CHAR(13)&amp;CHAR(9)&amp;CHAR(9)&amp;"&lt;conditionImmune&gt;"&amp;AR66&amp;"&lt;/conditionImmune&gt;"&amp;CHAR(13)&amp;CHAR(9)&amp;CHAR(9)&amp;"&lt;senses&gt;"&amp;AM66&amp;"&lt;/senses&gt;"&amp;CHAR(13)&amp;CHAR(9)&amp;CHAR(9)&amp;"&lt;passive&gt;"&amp;AN66&amp;"&lt;/passive&gt;"&amp;CHAR(13)&amp;CHAR(9)&amp;CHAR(9)&amp;"&lt;languages&gt;"&amp;AS66&amp;"&lt;/languages&gt;"&amp;CHAR(13)&amp;CHAR(9)&amp;CHAR(9)&amp;"&lt;cr&gt;"&amp;O66&amp;"&lt;/cr&gt;"&amp;F66&amp;G66&amp;H66&amp;I66&amp;J66&amp;K66&amp;IF(C66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6" s="3">
        <f>IF(COTM=TRUE,MAX(CL66,CM66,CN66),MAX(CK66,CM66,CN66))</f>
        <v>2</v>
      </c>
      <c r="C66" s="11" t="str">
        <f>IF(COTM=FALSE,"",IF(DruidLevel&gt;5,"Y",""))</f>
        <v/>
      </c>
      <c r="D66" s="3" t="s">
        <v>173</v>
      </c>
      <c r="E66" s="3" t="str">
        <f>T66&amp;" ft."&amp;IF(U66+V66+W66+X66=0,"",", ")&amp;IF(ISBLANK(U66),"","burrow "&amp;U66&amp;" ft."&amp;IF(V66+W66+X66=0,"",", "))&amp;IF(ISBLANK(V66),"","climb "&amp;V66&amp;" ft."&amp;IF(W66+X66=0,"",", "))&amp;IF(ISBLANK(W66),"","fly "&amp;W66&amp;" ft."&amp;IF(X66=0,"",", "))&amp;IF(ISBLANK(X66),"","swim "&amp;X66&amp;" ft.")</f>
        <v>20 ft., climb 20 ft.</v>
      </c>
      <c r="F66" s="3" t="str">
        <f>IF(ISBLANK(AT66),"",CHAR(13)&amp;CHAR(9)&amp;CHAR(9)&amp;"&lt;"&amp;AU66&amp;"&gt;"&amp;CHAR(13)&amp;CHAR(9)&amp;CHAR(9)&amp;CHAR(9)&amp;"&lt;name&gt;"&amp;AT66&amp;"&lt;/name&gt;"&amp;CHAR(13)&amp;CHAR(9)&amp;CHAR(9)&amp;CHAR(9)&amp;"&lt;text&gt;"&amp;AV66&amp;"&lt;/text&gt;"&amp;IF(ISBLANK(AX66),"",CHAR(13)&amp;CHAR(9)&amp;CHAR(9)&amp;CHAR(9)&amp;"&lt;attack&gt;"&amp;AX66&amp;"|"&amp;AY66&amp;"|"&amp;AZ66&amp;"&lt;/attack&gt;")&amp;CHAR(13)&amp;CHAR(9)&amp;CHAR(9)&amp;"&lt;/"&amp;AU66&amp;"&gt;")</f>
        <v>_x000D_		&lt;action&gt;_x000D_			&lt;name&gt;Bite&lt;/name&gt;_x000D_			&lt;text&gt;Melee Weapon Attack: +0 to hit, reach 5 ft., one target. Hit: 1 piercing damage.&lt;/text&gt;_x000D_			&lt;attack&gt;Bite|0|1&lt;/attack&gt;_x000D_		&lt;/action&gt;</v>
      </c>
      <c r="G66" s="3" t="str">
        <f>IF(ISBLANK(BA66),"",CHAR(13)&amp;CHAR(9)&amp;CHAR(9)&amp;"&lt;"&amp;BB66&amp;"&gt;"&amp;CHAR(13)&amp;CHAR(9)&amp;CHAR(9)&amp;CHAR(9)&amp;"&lt;name&gt;"&amp;BA66&amp;"&lt;/name&gt;"&amp;CHAR(13)&amp;CHAR(9)&amp;CHAR(9)&amp;CHAR(9)&amp;"&lt;text&gt;"&amp;BC66&amp;"&lt;/text&gt;"&amp;IF(ISBLANK(BE66),"",CHAR(13)&amp;CHAR(9)&amp;CHAR(9)&amp;CHAR(9)&amp;"&lt;attack&gt;"&amp;BE66&amp;"|"&amp;BF66&amp;"|"&amp;BG66&amp;"&lt;/attack&gt;")&amp;CHAR(13)&amp;CHAR(9)&amp;CHAR(9)&amp;"&lt;/"&amp;BB66&amp;"&gt;")</f>
        <v/>
      </c>
      <c r="H66" s="3" t="str">
        <f>IF(ISBLANK(BH66),"",CHAR(13)&amp;CHAR(9)&amp;CHAR(9)&amp;"&lt;"&amp;BI66&amp;"&gt;"&amp;CHAR(13)&amp;CHAR(9)&amp;CHAR(9)&amp;CHAR(9)&amp;"&lt;name&gt;"&amp;BH66&amp;"&lt;/name&gt;"&amp;CHAR(13)&amp;CHAR(9)&amp;CHAR(9)&amp;CHAR(9)&amp;"&lt;text&gt;"&amp;BJ66&amp;"&lt;/text&gt;"&amp;IF(ISBLANK(BL66),"",CHAR(13)&amp;CHAR(9)&amp;CHAR(9)&amp;CHAR(9)&amp;"&lt;attack&gt;"&amp;BL66&amp;"|"&amp;BM66&amp;"|"&amp;BN66&amp;"&lt;/attack&gt;")&amp;CHAR(13)&amp;CHAR(9)&amp;CHAR(9)&amp;"&lt;/"&amp;BI66&amp;"&gt;")</f>
        <v/>
      </c>
      <c r="I66" s="3" t="str">
        <f>IF(ISBLANK(BO66),"",CHAR(13)&amp;CHAR(9)&amp;CHAR(9)&amp;"&lt;"&amp;BP66&amp;"&gt;"&amp;CHAR(13)&amp;CHAR(9)&amp;CHAR(9)&amp;CHAR(9)&amp;"&lt;name&gt;"&amp;BO66&amp;"&lt;/name&gt;"&amp;CHAR(13)&amp;CHAR(9)&amp;CHAR(9)&amp;CHAR(9)&amp;"&lt;text&gt;"&amp;BQ66&amp;"&lt;/text&gt;"&amp;IF(ISBLANK(BS66),"",CHAR(13)&amp;CHAR(9)&amp;CHAR(9)&amp;CHAR(9)&amp;"&lt;attack&gt;"&amp;BS66&amp;"|"&amp;BT66&amp;"|"&amp;BU66&amp;"&lt;/attack&gt;")&amp;CHAR(13)&amp;CHAR(9)&amp;CHAR(9)&amp;"&lt;/"&amp;BP66&amp;"&gt;")</f>
        <v/>
      </c>
      <c r="J66" s="3" t="str">
        <f>IF(ISBLANK(BV66),"",CHAR(13)&amp;CHAR(9)&amp;CHAR(9)&amp;"&lt;"&amp;BW66&amp;"&gt;"&amp;CHAR(13)&amp;CHAR(9)&amp;CHAR(9)&amp;CHAR(9)&amp;"&lt;name&gt;"&amp;BV66&amp;"&lt;/name&gt;"&amp;CHAR(13)&amp;CHAR(9)&amp;CHAR(9)&amp;CHAR(9)&amp;"&lt;text&gt;"&amp;BX66&amp;"&lt;/text&gt;"&amp;IF(ISBLANK(BZ66),"",CHAR(13)&amp;CHAR(9)&amp;CHAR(9)&amp;CHAR(9)&amp;"&lt;attack&gt;"&amp;BZ66&amp;"|"&amp;CA66&amp;"|"&amp;CB66&amp;"&lt;/attack&gt;")&amp;CHAR(13)&amp;CHAR(9)&amp;CHAR(9)&amp;"&lt;/"&amp;BW66&amp;"&gt;")</f>
        <v/>
      </c>
      <c r="K66" s="3" t="str">
        <f>IF(ISBLANK(CC66),"",CHAR(13)&amp;CHAR(9)&amp;CHAR(9)&amp;"&lt;"&amp;CD66&amp;"&gt;"&amp;CHAR(13)&amp;CHAR(9)&amp;CHAR(9)&amp;CHAR(9)&amp;"&lt;name&gt;"&amp;CC66&amp;"&lt;/name&gt;"&amp;CHAR(13)&amp;CHAR(9)&amp;CHAR(9)&amp;CHAR(9)&amp;"&lt;text&gt;"&amp;CE66&amp;"&lt;/text&gt;"&amp;IF(ISBLANK(CG66),"",CHAR(13)&amp;CHAR(9)&amp;CHAR(9)&amp;CHAR(9)&amp;"&lt;attack&gt;"&amp;CG66&amp;"|"&amp;CH66&amp;"|"&amp;CI66&amp;"&lt;/attack&gt;")&amp;CHAR(13)&amp;CHAR(9)&amp;CHAR(9)&amp;"&lt;/"&amp;CD66&amp;"&gt;")</f>
        <v/>
      </c>
      <c r="L66" s="1" t="s">
        <v>23</v>
      </c>
      <c r="M66" s="1" t="s">
        <v>275</v>
      </c>
      <c r="N66" s="1">
        <f>DruidAlignment</f>
        <v>0</v>
      </c>
      <c r="O66" s="2">
        <v>0</v>
      </c>
      <c r="P66" s="1" t="s">
        <v>0</v>
      </c>
      <c r="Q66" s="1">
        <v>10</v>
      </c>
      <c r="R66" s="1"/>
      <c r="S66" s="1">
        <v>2</v>
      </c>
      <c r="T66" s="1">
        <v>20</v>
      </c>
      <c r="V66" s="1">
        <v>20</v>
      </c>
      <c r="Y66" s="1">
        <v>2</v>
      </c>
      <c r="Z66" s="1">
        <v>11</v>
      </c>
      <c r="AA66" s="1">
        <v>10</v>
      </c>
      <c r="AB66" s="10">
        <f>DruidInt</f>
        <v>0</v>
      </c>
      <c r="AC66" s="10">
        <f>DruidWis</f>
        <v>0</v>
      </c>
      <c r="AD66" s="10">
        <f>DruidCha</f>
        <v>0</v>
      </c>
      <c r="AE66" s="12"/>
      <c r="AF66" s="12"/>
      <c r="AG66" s="12"/>
      <c r="AH66" s="12" t="s">
        <v>173</v>
      </c>
      <c r="AI66" s="12" t="str">
        <f>IF(ISBLANK(DruidAcrobatics),"",", Acrobatics +"&amp;DruidAcrobatics)&amp;IF(ISBLANK(DruidAnimalHandling),"",", Animal Handling +"&amp;DruidAnimalHandling)&amp;IF(ISBLANK(DruidArcana),"",", Arcana +"&amp;DruidArcana)&amp;IF(DruidAthletics+AE66=0,"",", Athletics +"&amp;MAX(DruidAthletics,AE66))&amp;IF(ISBLANK(DruidDeception),"",",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+"&amp;DruidNature)&amp;IF(DruidPerception+AF66=0,"",", Perception +"&amp;MAX(DruidPerception,AF66))&amp;IF(ISBLANK(DruidPerformance),"",", Performance +"&amp;DruidPerformance)&amp;IF(ISBLANK(DruidPersuasion),"",", Persuasion +"&amp;DruidPersuasion)&amp;IF(ISBLANK(DruidReligion),"",", Religion +"&amp;DruidReligion)&amp;IF(ISBLANK(DruidSleightofHand),"",", Sleight of Hand +"&amp;DruidSleightofHand)&amp;IF(DruidStealth+AG66=0,"",", Stealth +"&amp;MAX(DruidStealth,AG66))&amp;IF(ISBLANK(DruidSurvival),"",", Survival +"&amp;DruidSurvival)</f>
        <v/>
      </c>
      <c r="AJ66" s="1" t="e">
        <f>RIGHT(AI66,LEN(AI66)-2)</f>
        <v>#VALUE!</v>
      </c>
      <c r="AK6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6" s="1" t="s">
        <v>173</v>
      </c>
      <c r="AM66" s="1" t="s">
        <v>178</v>
      </c>
      <c r="AN66" s="3">
        <f>IF(DruidPerception+AF66=0,10+(ROUNDDOWN((AC66-10)/2,0)),10+MAX(DruidPerception,AF66))</f>
        <v>5</v>
      </c>
      <c r="AO66" s="1"/>
      <c r="AP66" s="1"/>
      <c r="AQ66" s="1"/>
      <c r="AR66" s="1"/>
      <c r="AS66" s="1"/>
      <c r="AT66" s="3" t="s">
        <v>161</v>
      </c>
      <c r="AU66" s="3" t="s">
        <v>150</v>
      </c>
      <c r="AV66" s="3" t="s">
        <v>356</v>
      </c>
      <c r="AW66" s="3" t="s">
        <v>173</v>
      </c>
      <c r="AX66" s="3" t="s">
        <v>161</v>
      </c>
      <c r="AY66" s="3">
        <v>0</v>
      </c>
      <c r="AZ66" s="3">
        <v>1</v>
      </c>
      <c r="BD66" s="3" t="s">
        <v>173</v>
      </c>
      <c r="BG66" s="3"/>
      <c r="BK66" s="3" t="s">
        <v>173</v>
      </c>
      <c r="BN66" s="3"/>
      <c r="BR66" s="3" t="s">
        <v>173</v>
      </c>
      <c r="BY66" s="3" t="s">
        <v>173</v>
      </c>
      <c r="CJ66" s="6">
        <v>0</v>
      </c>
      <c r="CK66" s="6">
        <f>IF(CJ66&lt;0.26,2,IF(CJ66&lt;0.51,4,IF(CJ66&lt;1.1,8,99)))</f>
        <v>2</v>
      </c>
      <c r="CL66" s="3">
        <f>IF(M66="Elemental",10,IF(CJ66&lt;2,2,CJ66*3))</f>
        <v>2</v>
      </c>
      <c r="CM66" s="3">
        <f>IF(W66&gt;0,8,0)</f>
        <v>0</v>
      </c>
      <c r="CN66" s="3">
        <f>IF(X66&gt;0,4,0)</f>
        <v>0</v>
      </c>
    </row>
    <row r="67" spans="1:92">
      <c r="A67" s="3" t="str">
        <f>IF(DruidLevel&lt;B67,"",CHAR(9)&amp;"&lt;monster&gt;"&amp;CHAR(13)&amp;CHAR(9)&amp;CHAR(9)&amp;"&lt;name&gt;"&amp;L67&amp;" (Wild Shape)&lt;/name&gt;"&amp;CHAR(13)&amp;CHAR(9)&amp;CHAR(9)&amp;"&lt;size&gt;"&amp;LEFT(P67,1)&amp;"&lt;/size&gt;"&amp;CHAR(13)&amp;CHAR(9)&amp;CHAR(9)&amp;"&lt;type&gt;"&amp;M67&amp;"&lt;/type&gt;"&amp;CHAR(13)&amp;CHAR(9)&amp;CHAR(9)&amp;"&lt;alignment&gt;"&amp;N67&amp;"&lt;/alignment&gt;"&amp;CHAR(13)&amp;CHAR(9)&amp;CHAR(9)&amp;"&lt;ac&gt;"&amp;Q67&amp;IF(ISBLANK(R67),""," ("&amp;R67&amp;")")&amp;"&lt;/ac&gt;"&amp;CHAR(13)&amp;CHAR(9)&amp;CHAR(9)&amp;"&lt;hp&gt;"&amp;S67&amp;"&lt;/hp&gt;"&amp;CHAR(13)&amp;CHAR(9)&amp;CHAR(9)&amp;"&lt;speed&gt;"&amp;E67&amp;"&lt;/speed&gt;"&amp;CHAR(13)&amp;CHAR(9)&amp;CHAR(9)&amp;"&lt;str&gt;"&amp;Y67&amp;"&lt;/str&gt;&lt;dex&gt;"&amp;Z67&amp;"&lt;/dex&gt;&lt;con&gt;"&amp;AA67&amp;"&lt;/con&gt;&lt;int&gt;"&amp;AB67&amp;"&lt;/int&gt;&lt;wis&gt;"&amp;AC67&amp;"&lt;/wis&gt;&lt;cha&gt;"&amp;AD67&amp;"&lt;/cha&gt;"&amp;CHAR(13)&amp;CHAR(9)&amp;CHAR(9)&amp;"&lt;save&gt;"&amp;AK67&amp;"&lt;/save&gt;"&amp;CHAR(13)&amp;CHAR(9)&amp;CHAR(9)&amp;"&lt;skill&gt;"&amp;AJ67&amp;"&lt;/skill&gt;"&amp;CHAR(13)&amp;CHAR(9)&amp;CHAR(9)&amp;"&lt;vulnerable&gt;"&amp;AO67&amp;"&lt;/vulnerable&gt;"&amp;CHAR(13)&amp;CHAR(9)&amp;CHAR(9)&amp;"&lt;resist&gt;"&amp;AP67&amp;"&lt;/resist&gt;"&amp;CHAR(13)&amp;CHAR(9)&amp;CHAR(9)&amp;"&lt;immune&gt;"&amp;AQ67&amp;"&lt;/immune&gt;"&amp;CHAR(13)&amp;CHAR(9)&amp;CHAR(9)&amp;"&lt;conditionImmune&gt;"&amp;AR67&amp;"&lt;/conditionImmune&gt;"&amp;CHAR(13)&amp;CHAR(9)&amp;CHAR(9)&amp;"&lt;senses&gt;"&amp;AM67&amp;"&lt;/senses&gt;"&amp;CHAR(13)&amp;CHAR(9)&amp;CHAR(9)&amp;"&lt;passive&gt;"&amp;AN67&amp;"&lt;/passive&gt;"&amp;CHAR(13)&amp;CHAR(9)&amp;CHAR(9)&amp;"&lt;languages&gt;"&amp;AS67&amp;"&lt;/languages&gt;"&amp;CHAR(13)&amp;CHAR(9)&amp;CHAR(9)&amp;"&lt;cr&gt;"&amp;O67&amp;"&lt;/cr&gt;"&amp;F67&amp;G67&amp;H67&amp;I67&amp;J67&amp;K67&amp;IF(C67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7" s="3">
        <f>IF(COTM=TRUE,MAX(CL67,CM67,CN67),MAX(CK67,CM67,CN67))</f>
        <v>99</v>
      </c>
      <c r="C67" s="11" t="str">
        <f>IF(COTM=FALSE,"",IF(DruidLevel&gt;5,"Y",""))</f>
        <v/>
      </c>
      <c r="D67" s="3" t="s">
        <v>173</v>
      </c>
      <c r="E67" s="3" t="str">
        <f>T67&amp;" ft."&amp;IF(U67+V67+W67+X67=0,"",", ")&amp;IF(ISBLANK(U67),"","burrow "&amp;U67&amp;" ft."&amp;IF(V67+W67+X67=0,"",", "))&amp;IF(ISBLANK(V67),"","climb "&amp;V67&amp;" ft."&amp;IF(W67+X67=0,"",", "))&amp;IF(ISBLANK(W67),"","fly "&amp;W67&amp;" ft."&amp;IF(X67=0,"",", "))&amp;IF(ISBLANK(X67),"","swim "&amp;X67&amp;" ft.")</f>
        <v>40 ft.</v>
      </c>
      <c r="F67" s="3" t="str">
        <f>IF(ISBLANK(AT67),"",CHAR(13)&amp;CHAR(9)&amp;CHAR(9)&amp;"&lt;"&amp;AU67&amp;"&gt;"&amp;CHAR(13)&amp;CHAR(9)&amp;CHAR(9)&amp;CHAR(9)&amp;"&lt;name&gt;"&amp;AT67&amp;"&lt;/name&gt;"&amp;CHAR(13)&amp;CHAR(9)&amp;CHAR(9)&amp;CHAR(9)&amp;"&lt;text&gt;"&amp;AV67&amp;"&lt;/text&gt;"&amp;IF(ISBLANK(AX67),"",CHAR(13)&amp;CHAR(9)&amp;CHAR(9)&amp;CHAR(9)&amp;"&lt;attack&gt;"&amp;AX67&amp;"|"&amp;AY67&amp;"|"&amp;AZ67&amp;"&lt;/attack&gt;")&amp;CHAR(13)&amp;CHAR(9)&amp;CHAR(9)&amp;"&lt;/"&amp;AU67&amp;"&gt;")</f>
        <v>_x000D_		&lt;trait&gt;_x000D_			&lt;name&gt;Trampling Charge&lt;/name&gt;_x000D_			&lt;text&gt;If the mammoth moves at least 20 feet straight toward a creature and then hits it with a gore attack on the same turn, that target must succeed on a DC 18 Strength saving throw or be knocked prone. If the target is prone, the mammoth can make one stomp attack against it as a bonus action.&lt;/text&gt;_x000D_		&lt;/trait&gt;</v>
      </c>
      <c r="G67" s="3" t="str">
        <f>IF(ISBLANK(BA67),"",CHAR(13)&amp;CHAR(9)&amp;CHAR(9)&amp;"&lt;"&amp;BB67&amp;"&gt;"&amp;CHAR(13)&amp;CHAR(9)&amp;CHAR(9)&amp;CHAR(9)&amp;"&lt;name&gt;"&amp;BA67&amp;"&lt;/name&gt;"&amp;CHAR(13)&amp;CHAR(9)&amp;CHAR(9)&amp;CHAR(9)&amp;"&lt;text&gt;"&amp;BC67&amp;"&lt;/text&gt;"&amp;IF(ISBLANK(BE67),"",CHAR(13)&amp;CHAR(9)&amp;CHAR(9)&amp;CHAR(9)&amp;"&lt;attack&gt;"&amp;BE67&amp;"|"&amp;BF67&amp;"|"&amp;BG67&amp;"&lt;/attack&gt;")&amp;CHAR(13)&amp;CHAR(9)&amp;CHAR(9)&amp;"&lt;/"&amp;BB67&amp;"&gt;")</f>
        <v>_x000D_		&lt;action&gt;_x000D_			&lt;name&gt;Gore&lt;/name&gt;_x000D_			&lt;text&gt;Melee Weapon Attack: +10 to hit, reach 10 ft., one target. Hit: 25 (4d8 + 7) piercing damage.&lt;/text&gt;_x000D_			&lt;attack&gt;Gore|10|4d8+7&lt;/attack&gt;_x000D_		&lt;/action&gt;</v>
      </c>
      <c r="H67" s="3" t="str">
        <f>IF(ISBLANK(BH67),"",CHAR(13)&amp;CHAR(9)&amp;CHAR(9)&amp;"&lt;"&amp;BI67&amp;"&gt;"&amp;CHAR(13)&amp;CHAR(9)&amp;CHAR(9)&amp;CHAR(9)&amp;"&lt;name&gt;"&amp;BH67&amp;"&lt;/name&gt;"&amp;CHAR(13)&amp;CHAR(9)&amp;CHAR(9)&amp;CHAR(9)&amp;"&lt;text&gt;"&amp;BJ67&amp;"&lt;/text&gt;"&amp;IF(ISBLANK(BL67),"",CHAR(13)&amp;CHAR(9)&amp;CHAR(9)&amp;CHAR(9)&amp;"&lt;attack&gt;"&amp;BL67&amp;"|"&amp;BM67&amp;"|"&amp;BN67&amp;"&lt;/attack&gt;")&amp;CHAR(13)&amp;CHAR(9)&amp;CHAR(9)&amp;"&lt;/"&amp;BI67&amp;"&gt;")</f>
        <v>_x000D_		&lt;action&gt;_x000D_			&lt;name&gt;Stomp&lt;/name&gt;_x000D_			&lt;text&gt;Melee Weapon Attack: +10 to hit, reach 5 ft., one prone creature. Hit: 29 (4d10 + 7) bludgeoning damage.&lt;/text&gt;_x000D_			&lt;attack&gt;Stomp|10|4d10+7&lt;/attack&gt;_x000D_		&lt;/action&gt;</v>
      </c>
      <c r="I67" s="3" t="str">
        <f>IF(ISBLANK(BO67),"",CHAR(13)&amp;CHAR(9)&amp;CHAR(9)&amp;"&lt;"&amp;BP67&amp;"&gt;"&amp;CHAR(13)&amp;CHAR(9)&amp;CHAR(9)&amp;CHAR(9)&amp;"&lt;name&gt;"&amp;BO67&amp;"&lt;/name&gt;"&amp;CHAR(13)&amp;CHAR(9)&amp;CHAR(9)&amp;CHAR(9)&amp;"&lt;text&gt;"&amp;BQ67&amp;"&lt;/text&gt;"&amp;IF(ISBLANK(BS67),"",CHAR(13)&amp;CHAR(9)&amp;CHAR(9)&amp;CHAR(9)&amp;"&lt;attack&gt;"&amp;BS67&amp;"|"&amp;BT67&amp;"|"&amp;BU67&amp;"&lt;/attack&gt;")&amp;CHAR(13)&amp;CHAR(9)&amp;CHAR(9)&amp;"&lt;/"&amp;BP67&amp;"&gt;")</f>
        <v/>
      </c>
      <c r="J67" s="3" t="str">
        <f>IF(ISBLANK(BV67),"",CHAR(13)&amp;CHAR(9)&amp;CHAR(9)&amp;"&lt;"&amp;BW67&amp;"&gt;"&amp;CHAR(13)&amp;CHAR(9)&amp;CHAR(9)&amp;CHAR(9)&amp;"&lt;name&gt;"&amp;BV67&amp;"&lt;/name&gt;"&amp;CHAR(13)&amp;CHAR(9)&amp;CHAR(9)&amp;CHAR(9)&amp;"&lt;text&gt;"&amp;BX67&amp;"&lt;/text&gt;"&amp;IF(ISBLANK(BZ67),"",CHAR(13)&amp;CHAR(9)&amp;CHAR(9)&amp;CHAR(9)&amp;"&lt;attack&gt;"&amp;BZ67&amp;"|"&amp;CA67&amp;"|"&amp;CB67&amp;"&lt;/attack&gt;")&amp;CHAR(13)&amp;CHAR(9)&amp;CHAR(9)&amp;"&lt;/"&amp;BW67&amp;"&gt;")</f>
        <v/>
      </c>
      <c r="K67" s="3" t="str">
        <f>IF(ISBLANK(CC67),"",CHAR(13)&amp;CHAR(9)&amp;CHAR(9)&amp;"&lt;"&amp;CD67&amp;"&gt;"&amp;CHAR(13)&amp;CHAR(9)&amp;CHAR(9)&amp;CHAR(9)&amp;"&lt;name&gt;"&amp;CC67&amp;"&lt;/name&gt;"&amp;CHAR(13)&amp;CHAR(9)&amp;CHAR(9)&amp;CHAR(9)&amp;"&lt;text&gt;"&amp;CE67&amp;"&lt;/text&gt;"&amp;IF(ISBLANK(CG67),"",CHAR(13)&amp;CHAR(9)&amp;CHAR(9)&amp;CHAR(9)&amp;"&lt;attack&gt;"&amp;CG67&amp;"|"&amp;CH67&amp;"|"&amp;CI67&amp;"&lt;/attack&gt;")&amp;CHAR(13)&amp;CHAR(9)&amp;CHAR(9)&amp;"&lt;/"&amp;CD67&amp;"&gt;")</f>
        <v/>
      </c>
      <c r="L67" s="1" t="s">
        <v>107</v>
      </c>
      <c r="M67" s="1" t="s">
        <v>275</v>
      </c>
      <c r="N67" s="1">
        <f>DruidAlignment</f>
        <v>0</v>
      </c>
      <c r="O67" s="2">
        <v>6</v>
      </c>
      <c r="P67" s="1" t="s">
        <v>80</v>
      </c>
      <c r="Q67" s="1">
        <v>13</v>
      </c>
      <c r="R67" s="1" t="s">
        <v>405</v>
      </c>
      <c r="S67" s="1">
        <v>126</v>
      </c>
      <c r="T67" s="1">
        <v>40</v>
      </c>
      <c r="Y67" s="1">
        <v>24</v>
      </c>
      <c r="Z67" s="1">
        <v>9</v>
      </c>
      <c r="AA67" s="1">
        <v>21</v>
      </c>
      <c r="AB67" s="10">
        <f>DruidInt</f>
        <v>0</v>
      </c>
      <c r="AC67" s="10">
        <f>DruidWis</f>
        <v>0</v>
      </c>
      <c r="AD67" s="10">
        <f>DruidCha</f>
        <v>0</v>
      </c>
      <c r="AE67" s="12"/>
      <c r="AF67" s="12"/>
      <c r="AG67" s="12"/>
      <c r="AH67" s="12" t="s">
        <v>173</v>
      </c>
      <c r="AI67" s="12" t="str">
        <f>IF(ISBLANK(DruidAcrobatics),"",", Acrobatics +"&amp;DruidAcrobatics)&amp;IF(ISBLANK(DruidAnimalHandling),"",", Animal Handling +"&amp;DruidAnimalHandling)&amp;IF(ISBLANK(DruidArcana),"",", Arcana +"&amp;DruidArcana)&amp;IF(DruidAthletics+AE67=0,"",", Athletics +"&amp;MAX(DruidAthletics,AE67))&amp;IF(ISBLANK(DruidDeception),"",",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+"&amp;DruidNature)&amp;IF(DruidPerception+AF67=0,"",", Perception +"&amp;MAX(DruidPerception,AF67))&amp;IF(ISBLANK(DruidPerformance),"",", Performance +"&amp;DruidPerformance)&amp;IF(ISBLANK(DruidPersuasion),"",", Persuasion +"&amp;DruidPersuasion)&amp;IF(ISBLANK(DruidReligion),"",", Religion +"&amp;DruidReligion)&amp;IF(ISBLANK(DruidSleightofHand),"",", Sleight of Hand +"&amp;DruidSleightofHand)&amp;IF(DruidStealth+AG67=0,"",", Stealth +"&amp;MAX(DruidStealth,AG67))&amp;IF(ISBLANK(DruidSurvival),"",", Survival +"&amp;DruidSurvival)</f>
        <v/>
      </c>
      <c r="AJ67" s="1" t="e">
        <f>RIGHT(AI67,LEN(AI67)-2)</f>
        <v>#VALUE!</v>
      </c>
      <c r="AK6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7" s="1" t="s">
        <v>173</v>
      </c>
      <c r="AN67" s="3">
        <f>IF(DruidPerception+AF67=0,10+(ROUNDDOWN((AC67-10)/2,0)),10+MAX(DruidPerception,AF67))</f>
        <v>5</v>
      </c>
      <c r="AT67" s="3" t="s">
        <v>49</v>
      </c>
      <c r="AU67" s="3" t="s">
        <v>148</v>
      </c>
      <c r="AV67" s="3" t="s">
        <v>357</v>
      </c>
      <c r="AW67" s="3" t="s">
        <v>173</v>
      </c>
      <c r="AZ67" s="9"/>
      <c r="BA67" s="3" t="s">
        <v>245</v>
      </c>
      <c r="BB67" s="3" t="s">
        <v>150</v>
      </c>
      <c r="BC67" s="3" t="s">
        <v>360</v>
      </c>
      <c r="BD67" s="3" t="s">
        <v>173</v>
      </c>
      <c r="BE67" s="3" t="s">
        <v>245</v>
      </c>
      <c r="BF67" s="3">
        <v>10</v>
      </c>
      <c r="BG67" s="9" t="s">
        <v>358</v>
      </c>
      <c r="BH67" s="3" t="s">
        <v>247</v>
      </c>
      <c r="BI67" s="3" t="s">
        <v>150</v>
      </c>
      <c r="BJ67" s="3" t="s">
        <v>361</v>
      </c>
      <c r="BL67" s="3" t="s">
        <v>247</v>
      </c>
      <c r="BM67" s="3">
        <v>10</v>
      </c>
      <c r="BN67" s="9" t="s">
        <v>359</v>
      </c>
      <c r="BR67" s="3" t="s">
        <v>173</v>
      </c>
      <c r="BY67" s="3" t="s">
        <v>173</v>
      </c>
      <c r="CJ67" s="6">
        <v>6</v>
      </c>
      <c r="CK67" s="6">
        <f>IF(CJ67&lt;0.26,2,IF(CJ67&lt;0.51,4,IF(CJ67&lt;1.1,8,99)))</f>
        <v>99</v>
      </c>
      <c r="CL67" s="3">
        <f>IF(M67="Elemental",10,IF(CJ67&lt;2,2,CJ67*3))</f>
        <v>18</v>
      </c>
      <c r="CM67" s="3">
        <f>IF(W67&gt;0,8,0)</f>
        <v>0</v>
      </c>
      <c r="CN67" s="3">
        <f>IF(X67&gt;0,4,0)</f>
        <v>0</v>
      </c>
    </row>
    <row r="68" spans="1:92">
      <c r="A68" s="3" t="str">
        <f>IF(DruidLevel&lt;B68,"",CHAR(9)&amp;"&lt;monster&gt;"&amp;CHAR(13)&amp;CHAR(9)&amp;CHAR(9)&amp;"&lt;name&gt;"&amp;L68&amp;" (Wild Shape)&lt;/name&gt;"&amp;CHAR(13)&amp;CHAR(9)&amp;CHAR(9)&amp;"&lt;size&gt;"&amp;LEFT(P68,1)&amp;"&lt;/size&gt;"&amp;CHAR(13)&amp;CHAR(9)&amp;CHAR(9)&amp;"&lt;type&gt;"&amp;M68&amp;"&lt;/type&gt;"&amp;CHAR(13)&amp;CHAR(9)&amp;CHAR(9)&amp;"&lt;alignment&gt;"&amp;N68&amp;"&lt;/alignment&gt;"&amp;CHAR(13)&amp;CHAR(9)&amp;CHAR(9)&amp;"&lt;ac&gt;"&amp;Q68&amp;IF(ISBLANK(R68),""," ("&amp;R68&amp;")")&amp;"&lt;/ac&gt;"&amp;CHAR(13)&amp;CHAR(9)&amp;CHAR(9)&amp;"&lt;hp&gt;"&amp;S68&amp;"&lt;/hp&gt;"&amp;CHAR(13)&amp;CHAR(9)&amp;CHAR(9)&amp;"&lt;speed&gt;"&amp;E68&amp;"&lt;/speed&gt;"&amp;CHAR(13)&amp;CHAR(9)&amp;CHAR(9)&amp;"&lt;str&gt;"&amp;Y68&amp;"&lt;/str&gt;&lt;dex&gt;"&amp;Z68&amp;"&lt;/dex&gt;&lt;con&gt;"&amp;AA68&amp;"&lt;/con&gt;&lt;int&gt;"&amp;AB68&amp;"&lt;/int&gt;&lt;wis&gt;"&amp;AC68&amp;"&lt;/wis&gt;&lt;cha&gt;"&amp;AD68&amp;"&lt;/cha&gt;"&amp;CHAR(13)&amp;CHAR(9)&amp;CHAR(9)&amp;"&lt;save&gt;"&amp;AK68&amp;"&lt;/save&gt;"&amp;CHAR(13)&amp;CHAR(9)&amp;CHAR(9)&amp;"&lt;skill&gt;"&amp;AJ68&amp;"&lt;/skill&gt;"&amp;CHAR(13)&amp;CHAR(9)&amp;CHAR(9)&amp;"&lt;vulnerable&gt;"&amp;AO68&amp;"&lt;/vulnerable&gt;"&amp;CHAR(13)&amp;CHAR(9)&amp;CHAR(9)&amp;"&lt;resist&gt;"&amp;AP68&amp;"&lt;/resist&gt;"&amp;CHAR(13)&amp;CHAR(9)&amp;CHAR(9)&amp;"&lt;immune&gt;"&amp;AQ68&amp;"&lt;/immune&gt;"&amp;CHAR(13)&amp;CHAR(9)&amp;CHAR(9)&amp;"&lt;conditionImmune&gt;"&amp;AR68&amp;"&lt;/conditionImmune&gt;"&amp;CHAR(13)&amp;CHAR(9)&amp;CHAR(9)&amp;"&lt;senses&gt;"&amp;AM68&amp;"&lt;/senses&gt;"&amp;CHAR(13)&amp;CHAR(9)&amp;CHAR(9)&amp;"&lt;passive&gt;"&amp;AN68&amp;"&lt;/passive&gt;"&amp;CHAR(13)&amp;CHAR(9)&amp;CHAR(9)&amp;"&lt;languages&gt;"&amp;AS68&amp;"&lt;/languages&gt;"&amp;CHAR(13)&amp;CHAR(9)&amp;CHAR(9)&amp;"&lt;cr&gt;"&amp;O68&amp;"&lt;/cr&gt;"&amp;F68&amp;G68&amp;H68&amp;I68&amp;J68&amp;K68&amp;IF(C68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8" s="3">
        <f>IF(COTM=TRUE,MAX(CL68,CM68,CN68),MAX(CK68,CM68,CN68))</f>
        <v>2</v>
      </c>
      <c r="C68" s="11" t="str">
        <f>IF(COTM=FALSE,"",IF(DruidLevel&gt;5,"Y",""))</f>
        <v/>
      </c>
      <c r="D68" s="3" t="s">
        <v>173</v>
      </c>
      <c r="E68" s="3" t="str">
        <f>T68&amp;" ft."&amp;IF(U68+V68+W68+X68=0,"",", ")&amp;IF(ISBLANK(U68),"","burrow "&amp;U68&amp;" ft."&amp;IF(V68+W68+X68=0,"",", "))&amp;IF(ISBLANK(V68),"","climb "&amp;V68&amp;" ft."&amp;IF(W68+X68=0,"",", "))&amp;IF(ISBLANK(W68),"","fly "&amp;W68&amp;" ft."&amp;IF(X68=0,"",", "))&amp;IF(ISBLANK(X68),"","swim "&amp;X68&amp;" ft.")</f>
        <v>40 ft.</v>
      </c>
      <c r="F68" s="3" t="str">
        <f>IF(ISBLANK(AT68),"",CHAR(13)&amp;CHAR(9)&amp;CHAR(9)&amp;"&lt;"&amp;AU68&amp;"&gt;"&amp;CHAR(13)&amp;CHAR(9)&amp;CHAR(9)&amp;CHAR(9)&amp;"&lt;name&gt;"&amp;AT68&amp;"&lt;/name&gt;"&amp;CHAR(13)&amp;CHAR(9)&amp;CHAR(9)&amp;CHAR(9)&amp;"&lt;text&gt;"&amp;AV68&amp;"&lt;/text&gt;"&amp;IF(ISBLANK(AX68),"",CHAR(13)&amp;CHAR(9)&amp;CHAR(9)&amp;CHAR(9)&amp;"&lt;attack&gt;"&amp;AX68&amp;"|"&amp;AY68&amp;"|"&amp;AZ68&amp;"&lt;/attack&gt;")&amp;CHAR(13)&amp;CHAR(9)&amp;CHAR(9)&amp;"&lt;/"&amp;AU68&amp;"&gt;")</f>
        <v>_x000D_		&lt;trait&gt;_x000D_			&lt;name&gt;Keen Hearing and Smell&lt;/name&gt;_x000D_			&lt;text&gt;The mastiff has advantage on Wisdom (Perception) checks that rely on hearing or smell.&lt;/text&gt;_x000D_		&lt;/trait&gt;</v>
      </c>
      <c r="G68" s="3" t="str">
        <f>IF(ISBLANK(BA68),"",CHAR(13)&amp;CHAR(9)&amp;CHAR(9)&amp;"&lt;"&amp;BB68&amp;"&gt;"&amp;CHAR(13)&amp;CHAR(9)&amp;CHAR(9)&amp;CHAR(9)&amp;"&lt;name&gt;"&amp;BA68&amp;"&lt;/name&gt;"&amp;CHAR(13)&amp;CHAR(9)&amp;CHAR(9)&amp;CHAR(9)&amp;"&lt;text&gt;"&amp;BC68&amp;"&lt;/text&gt;"&amp;IF(ISBLANK(BE68),"",CHAR(13)&amp;CHAR(9)&amp;CHAR(9)&amp;CHAR(9)&amp;"&lt;attack&gt;"&amp;BE68&amp;"|"&amp;BF68&amp;"|"&amp;BG68&amp;"&lt;/attack&gt;")&amp;CHAR(13)&amp;CHAR(9)&amp;CHAR(9)&amp;"&lt;/"&amp;BB68&amp;"&gt;")</f>
        <v>_x000D_		&lt;action&gt;_x000D_			&lt;name&gt;Bite&lt;/name&gt;_x000D_			&lt;text&gt;Melee Weapon Attack: +3 to hit, reach 5 ft., one target. Hit: 4 (1d6+1) piercing damage. If the target is a creature, it must succeed on a DC 11 Strength saving throw or be knocked prone.&lt;/text&gt;_x000D_			&lt;attack&gt;Bite|3|1d6+1&lt;/attack&gt;_x000D_		&lt;/action&gt;</v>
      </c>
      <c r="H68" s="3" t="str">
        <f>IF(ISBLANK(BH68),"",CHAR(13)&amp;CHAR(9)&amp;CHAR(9)&amp;"&lt;"&amp;BI68&amp;"&gt;"&amp;CHAR(13)&amp;CHAR(9)&amp;CHAR(9)&amp;CHAR(9)&amp;"&lt;name&gt;"&amp;BH68&amp;"&lt;/name&gt;"&amp;CHAR(13)&amp;CHAR(9)&amp;CHAR(9)&amp;CHAR(9)&amp;"&lt;text&gt;"&amp;BJ68&amp;"&lt;/text&gt;"&amp;IF(ISBLANK(BL68),"",CHAR(13)&amp;CHAR(9)&amp;CHAR(9)&amp;CHAR(9)&amp;"&lt;attack&gt;"&amp;BL68&amp;"|"&amp;BM68&amp;"|"&amp;BN68&amp;"&lt;/attack&gt;")&amp;CHAR(13)&amp;CHAR(9)&amp;CHAR(9)&amp;"&lt;/"&amp;BI68&amp;"&gt;")</f>
        <v/>
      </c>
      <c r="I68" s="3" t="str">
        <f>IF(ISBLANK(BO68),"",CHAR(13)&amp;CHAR(9)&amp;CHAR(9)&amp;"&lt;"&amp;BP68&amp;"&gt;"&amp;CHAR(13)&amp;CHAR(9)&amp;CHAR(9)&amp;CHAR(9)&amp;"&lt;name&gt;"&amp;BO68&amp;"&lt;/name&gt;"&amp;CHAR(13)&amp;CHAR(9)&amp;CHAR(9)&amp;CHAR(9)&amp;"&lt;text&gt;"&amp;BQ68&amp;"&lt;/text&gt;"&amp;IF(ISBLANK(BS68),"",CHAR(13)&amp;CHAR(9)&amp;CHAR(9)&amp;CHAR(9)&amp;"&lt;attack&gt;"&amp;BS68&amp;"|"&amp;BT68&amp;"|"&amp;BU68&amp;"&lt;/attack&gt;")&amp;CHAR(13)&amp;CHAR(9)&amp;CHAR(9)&amp;"&lt;/"&amp;BP68&amp;"&gt;")</f>
        <v/>
      </c>
      <c r="J68" s="3" t="str">
        <f>IF(ISBLANK(BV68),"",CHAR(13)&amp;CHAR(9)&amp;CHAR(9)&amp;"&lt;"&amp;BW68&amp;"&gt;"&amp;CHAR(13)&amp;CHAR(9)&amp;CHAR(9)&amp;CHAR(9)&amp;"&lt;name&gt;"&amp;BV68&amp;"&lt;/name&gt;"&amp;CHAR(13)&amp;CHAR(9)&amp;CHAR(9)&amp;CHAR(9)&amp;"&lt;text&gt;"&amp;BX68&amp;"&lt;/text&gt;"&amp;IF(ISBLANK(BZ68),"",CHAR(13)&amp;CHAR(9)&amp;CHAR(9)&amp;CHAR(9)&amp;"&lt;attack&gt;"&amp;BZ68&amp;"|"&amp;CA68&amp;"|"&amp;CB68&amp;"&lt;/attack&gt;")&amp;CHAR(13)&amp;CHAR(9)&amp;CHAR(9)&amp;"&lt;/"&amp;BW68&amp;"&gt;")</f>
        <v/>
      </c>
      <c r="K68" s="3" t="str">
        <f>IF(ISBLANK(CC68),"",CHAR(13)&amp;CHAR(9)&amp;CHAR(9)&amp;"&lt;"&amp;CD68&amp;"&gt;"&amp;CHAR(13)&amp;CHAR(9)&amp;CHAR(9)&amp;CHAR(9)&amp;"&lt;name&gt;"&amp;CC68&amp;"&lt;/name&gt;"&amp;CHAR(13)&amp;CHAR(9)&amp;CHAR(9)&amp;CHAR(9)&amp;"&lt;text&gt;"&amp;CE68&amp;"&lt;/text&gt;"&amp;IF(ISBLANK(CG68),"",CHAR(13)&amp;CHAR(9)&amp;CHAR(9)&amp;CHAR(9)&amp;"&lt;attack&gt;"&amp;CG68&amp;"|"&amp;CH68&amp;"|"&amp;CI68&amp;"&lt;/attack&gt;")&amp;CHAR(13)&amp;CHAR(9)&amp;CHAR(9)&amp;"&lt;/"&amp;CD68&amp;"&gt;")</f>
        <v/>
      </c>
      <c r="L68" s="1" t="s">
        <v>31</v>
      </c>
      <c r="M68" s="1" t="s">
        <v>275</v>
      </c>
      <c r="N68" s="1">
        <f>DruidAlignment</f>
        <v>0</v>
      </c>
      <c r="O68" s="5" t="s">
        <v>207</v>
      </c>
      <c r="P68" s="1" t="s">
        <v>17</v>
      </c>
      <c r="Q68" s="1">
        <v>12</v>
      </c>
      <c r="R68" s="1"/>
      <c r="S68" s="1">
        <v>5</v>
      </c>
      <c r="T68" s="1">
        <v>40</v>
      </c>
      <c r="Y68" s="1">
        <v>13</v>
      </c>
      <c r="Z68" s="1">
        <v>14</v>
      </c>
      <c r="AA68" s="1">
        <v>12</v>
      </c>
      <c r="AB68" s="10">
        <f>DruidInt</f>
        <v>0</v>
      </c>
      <c r="AC68" s="10">
        <f>DruidWis</f>
        <v>0</v>
      </c>
      <c r="AD68" s="10">
        <f>DruidCha</f>
        <v>0</v>
      </c>
      <c r="AE68" s="12"/>
      <c r="AF68" s="12"/>
      <c r="AG68" s="12"/>
      <c r="AH68" s="12" t="s">
        <v>173</v>
      </c>
      <c r="AI68" s="12" t="str">
        <f>IF(ISBLANK(DruidAcrobatics),"",", Acrobatics +"&amp;DruidAcrobatics)&amp;IF(ISBLANK(DruidAnimalHandling),"",", Animal Handling +"&amp;DruidAnimalHandling)&amp;IF(ISBLANK(DruidArcana),"",", Arcana +"&amp;DruidArcana)&amp;IF(DruidAthletics+AE68=0,"",", Athletics +"&amp;MAX(DruidAthletics,AE68))&amp;IF(ISBLANK(DruidDeception),"",",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+"&amp;DruidNature)&amp;IF(DruidPerception+AF68=0,"",", Perception +"&amp;MAX(DruidPerception,AF68))&amp;IF(ISBLANK(DruidPerformance),"",", Performance +"&amp;DruidPerformance)&amp;IF(ISBLANK(DruidPersuasion),"",", Persuasion +"&amp;DruidPersuasion)&amp;IF(ISBLANK(DruidReligion),"",", Religion +"&amp;DruidReligion)&amp;IF(ISBLANK(DruidSleightofHand),"",", Sleight of Hand +"&amp;DruidSleightofHand)&amp;IF(DruidStealth+AG68=0,"",", Stealth +"&amp;MAX(DruidStealth,AG68))&amp;IF(ISBLANK(DruidSurvival),"",", Survival +"&amp;DruidSurvival)</f>
        <v/>
      </c>
      <c r="AJ68" s="1" t="e">
        <f>RIGHT(AI68,LEN(AI68)-2)</f>
        <v>#VALUE!</v>
      </c>
      <c r="AK6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8" s="1" t="s">
        <v>173</v>
      </c>
      <c r="AN68" s="3">
        <f>IF(DruidPerception+AF68=0,10+(ROUNDDOWN((AC68-10)/2,0)),10+MAX(DruidPerception,AF68))</f>
        <v>5</v>
      </c>
      <c r="AT68" s="3" t="s">
        <v>28</v>
      </c>
      <c r="AU68" s="3" t="s">
        <v>148</v>
      </c>
      <c r="AV68" s="3" t="s">
        <v>362</v>
      </c>
      <c r="AW68" s="3" t="s">
        <v>173</v>
      </c>
      <c r="AZ68" s="3"/>
      <c r="BA68" s="3" t="s">
        <v>161</v>
      </c>
      <c r="BB68" s="3" t="s">
        <v>150</v>
      </c>
      <c r="BC68" s="3" t="s">
        <v>468</v>
      </c>
      <c r="BD68" s="3" t="s">
        <v>173</v>
      </c>
      <c r="BE68" s="3" t="s">
        <v>161</v>
      </c>
      <c r="BF68" s="3">
        <v>3</v>
      </c>
      <c r="BG68" s="3" t="s">
        <v>227</v>
      </c>
      <c r="BK68" s="3" t="s">
        <v>173</v>
      </c>
      <c r="BN68" s="3"/>
      <c r="BR68" s="3" t="s">
        <v>173</v>
      </c>
      <c r="BY68" s="3" t="s">
        <v>173</v>
      </c>
      <c r="CJ68" s="6">
        <v>0.125</v>
      </c>
      <c r="CK68" s="6">
        <f>IF(CJ68&lt;0.26,2,IF(CJ68&lt;0.51,4,IF(CJ68&lt;1.1,8,99)))</f>
        <v>2</v>
      </c>
      <c r="CL68" s="3">
        <f>IF(M68="Elemental",10,IF(CJ68&lt;2,2,CJ68*3))</f>
        <v>2</v>
      </c>
      <c r="CM68" s="3">
        <f>IF(W68&gt;0,8,0)</f>
        <v>0</v>
      </c>
      <c r="CN68" s="3">
        <f>IF(X68&gt;0,4,0)</f>
        <v>0</v>
      </c>
    </row>
    <row r="69" spans="1:92">
      <c r="A69" s="3" t="str">
        <f>IF(DruidLevel&lt;B69,"",CHAR(9)&amp;"&lt;monster&gt;"&amp;CHAR(13)&amp;CHAR(9)&amp;CHAR(9)&amp;"&lt;name&gt;"&amp;L69&amp;" (Wild Shape)&lt;/name&gt;"&amp;CHAR(13)&amp;CHAR(9)&amp;CHAR(9)&amp;"&lt;size&gt;"&amp;LEFT(P69,1)&amp;"&lt;/size&gt;"&amp;CHAR(13)&amp;CHAR(9)&amp;CHAR(9)&amp;"&lt;type&gt;"&amp;M69&amp;"&lt;/type&gt;"&amp;CHAR(13)&amp;CHAR(9)&amp;CHAR(9)&amp;"&lt;alignment&gt;"&amp;N69&amp;"&lt;/alignment&gt;"&amp;CHAR(13)&amp;CHAR(9)&amp;CHAR(9)&amp;"&lt;ac&gt;"&amp;Q69&amp;IF(ISBLANK(R69),""," ("&amp;R69&amp;")")&amp;"&lt;/ac&gt;"&amp;CHAR(13)&amp;CHAR(9)&amp;CHAR(9)&amp;"&lt;hp&gt;"&amp;S69&amp;"&lt;/hp&gt;"&amp;CHAR(13)&amp;CHAR(9)&amp;CHAR(9)&amp;"&lt;speed&gt;"&amp;E69&amp;"&lt;/speed&gt;"&amp;CHAR(13)&amp;CHAR(9)&amp;CHAR(9)&amp;"&lt;str&gt;"&amp;Y69&amp;"&lt;/str&gt;&lt;dex&gt;"&amp;Z69&amp;"&lt;/dex&gt;&lt;con&gt;"&amp;AA69&amp;"&lt;/con&gt;&lt;int&gt;"&amp;AB69&amp;"&lt;/int&gt;&lt;wis&gt;"&amp;AC69&amp;"&lt;/wis&gt;&lt;cha&gt;"&amp;AD69&amp;"&lt;/cha&gt;"&amp;CHAR(13)&amp;CHAR(9)&amp;CHAR(9)&amp;"&lt;save&gt;"&amp;AK69&amp;"&lt;/save&gt;"&amp;CHAR(13)&amp;CHAR(9)&amp;CHAR(9)&amp;"&lt;skill&gt;"&amp;AJ69&amp;"&lt;/skill&gt;"&amp;CHAR(13)&amp;CHAR(9)&amp;CHAR(9)&amp;"&lt;vulnerable&gt;"&amp;AO69&amp;"&lt;/vulnerable&gt;"&amp;CHAR(13)&amp;CHAR(9)&amp;CHAR(9)&amp;"&lt;resist&gt;"&amp;AP69&amp;"&lt;/resist&gt;"&amp;CHAR(13)&amp;CHAR(9)&amp;CHAR(9)&amp;"&lt;immune&gt;"&amp;AQ69&amp;"&lt;/immune&gt;"&amp;CHAR(13)&amp;CHAR(9)&amp;CHAR(9)&amp;"&lt;conditionImmune&gt;"&amp;AR69&amp;"&lt;/conditionImmune&gt;"&amp;CHAR(13)&amp;CHAR(9)&amp;CHAR(9)&amp;"&lt;senses&gt;"&amp;AM69&amp;"&lt;/senses&gt;"&amp;CHAR(13)&amp;CHAR(9)&amp;CHAR(9)&amp;"&lt;passive&gt;"&amp;AN69&amp;"&lt;/passive&gt;"&amp;CHAR(13)&amp;CHAR(9)&amp;CHAR(9)&amp;"&lt;languages&gt;"&amp;AS69&amp;"&lt;/languages&gt;"&amp;CHAR(13)&amp;CHAR(9)&amp;CHAR(9)&amp;"&lt;cr&gt;"&amp;O69&amp;"&lt;/cr&gt;"&amp;F69&amp;G69&amp;H69&amp;I69&amp;J69&amp;K69&amp;IF(C69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69" s="3">
        <f>IF(COTM=TRUE,MAX(CL69,CM69,CN69),MAX(CK69,CM69,CN69))</f>
        <v>2</v>
      </c>
      <c r="C69" s="11" t="str">
        <f>IF(COTM=FALSE,"",IF(DruidLevel&gt;5,"Y",""))</f>
        <v/>
      </c>
      <c r="D69" s="3" t="s">
        <v>173</v>
      </c>
      <c r="E69" s="3" t="str">
        <f>T69&amp;" ft."&amp;IF(U69+V69+W69+X69=0,"",", ")&amp;IF(ISBLANK(U69),"","burrow "&amp;U69&amp;" ft."&amp;IF(V69+W69+X69=0,"",", "))&amp;IF(ISBLANK(V69),"","climb "&amp;V69&amp;" ft."&amp;IF(W69+X69=0,"",", "))&amp;IF(ISBLANK(W69),"","fly "&amp;W69&amp;" ft."&amp;IF(X69=0,"",", "))&amp;IF(ISBLANK(X69),"","swim "&amp;X69&amp;" ft.")</f>
        <v>40 ft.</v>
      </c>
      <c r="F69" s="3" t="str">
        <f>IF(ISBLANK(AT69),"",CHAR(13)&amp;CHAR(9)&amp;CHAR(9)&amp;"&lt;"&amp;AU69&amp;"&gt;"&amp;CHAR(13)&amp;CHAR(9)&amp;CHAR(9)&amp;CHAR(9)&amp;"&lt;name&gt;"&amp;AT69&amp;"&lt;/name&gt;"&amp;CHAR(13)&amp;CHAR(9)&amp;CHAR(9)&amp;CHAR(9)&amp;"&lt;text&gt;"&amp;AV69&amp;"&lt;/text&gt;"&amp;IF(ISBLANK(AX69),"",CHAR(13)&amp;CHAR(9)&amp;CHAR(9)&amp;CHAR(9)&amp;"&lt;attack&gt;"&amp;AX69&amp;"|"&amp;AY69&amp;"|"&amp;AZ69&amp;"&lt;/attack&gt;")&amp;CHAR(13)&amp;CHAR(9)&amp;CHAR(9)&amp;"&lt;/"&amp;AU69&amp;"&gt;")</f>
        <v>_x000D_		&lt;trait&gt;_x000D_			&lt;name&gt;Beast of Burden&lt;/name&gt;_x000D_			&lt;text&gt;The mule is considered to be a Large animal for the purpose of determining its carrying capacity.&lt;/text&gt;_x000D_		&lt;/trait&gt;</v>
      </c>
      <c r="G69" s="3" t="str">
        <f>IF(ISBLANK(BA69),"",CHAR(13)&amp;CHAR(9)&amp;CHAR(9)&amp;"&lt;"&amp;BB69&amp;"&gt;"&amp;CHAR(13)&amp;CHAR(9)&amp;CHAR(9)&amp;CHAR(9)&amp;"&lt;name&gt;"&amp;BA69&amp;"&lt;/name&gt;"&amp;CHAR(13)&amp;CHAR(9)&amp;CHAR(9)&amp;CHAR(9)&amp;"&lt;text&gt;"&amp;BC69&amp;"&lt;/text&gt;"&amp;IF(ISBLANK(BE69),"",CHAR(13)&amp;CHAR(9)&amp;CHAR(9)&amp;CHAR(9)&amp;"&lt;attack&gt;"&amp;BE69&amp;"|"&amp;BF69&amp;"|"&amp;BG69&amp;"&lt;/attack&gt;")&amp;CHAR(13)&amp;CHAR(9)&amp;CHAR(9)&amp;"&lt;/"&amp;BB69&amp;"&gt;")</f>
        <v>_x000D_		&lt;trait&gt;_x000D_			&lt;name&gt;Sure-Footed&lt;/name&gt;_x000D_			&lt;text&gt;The mule has advantage on Strength and Dexterity saving throws made against effects that would knock it prone.&lt;/text&gt;_x000D_		&lt;/trait&gt;</v>
      </c>
      <c r="H69" s="3" t="str">
        <f>IF(ISBLANK(BH69),"",CHAR(13)&amp;CHAR(9)&amp;CHAR(9)&amp;"&lt;"&amp;BI69&amp;"&gt;"&amp;CHAR(13)&amp;CHAR(9)&amp;CHAR(9)&amp;CHAR(9)&amp;"&lt;name&gt;"&amp;BH69&amp;"&lt;/name&gt;"&amp;CHAR(13)&amp;CHAR(9)&amp;CHAR(9)&amp;CHAR(9)&amp;"&lt;text&gt;"&amp;BJ69&amp;"&lt;/text&gt;"&amp;IF(ISBLANK(BL69),"",CHAR(13)&amp;CHAR(9)&amp;CHAR(9)&amp;CHAR(9)&amp;"&lt;attack&gt;"&amp;BL69&amp;"|"&amp;BM69&amp;"|"&amp;BN69&amp;"&lt;/attack&gt;")&amp;CHAR(13)&amp;CHAR(9)&amp;CHAR(9)&amp;"&lt;/"&amp;BI69&amp;"&gt;")</f>
        <v>_x000D_		&lt;action&gt;_x000D_			&lt;name&gt;Hooves&lt;/name&gt;_x000D_			&lt;text&gt;Melee Weapon Attack: +2 to hit, reach 5 ft., one target. Hit: 4 (1d4+2) bludgeoning damage.&lt;/text&gt;_x000D_			&lt;attack&gt;Hooves|4|1d4+2&lt;/attack&gt;_x000D_		&lt;/action&gt;</v>
      </c>
      <c r="I69" s="3" t="str">
        <f>IF(ISBLANK(BO69),"",CHAR(13)&amp;CHAR(9)&amp;CHAR(9)&amp;"&lt;"&amp;BP69&amp;"&gt;"&amp;CHAR(13)&amp;CHAR(9)&amp;CHAR(9)&amp;CHAR(9)&amp;"&lt;name&gt;"&amp;BO69&amp;"&lt;/name&gt;"&amp;CHAR(13)&amp;CHAR(9)&amp;CHAR(9)&amp;CHAR(9)&amp;"&lt;text&gt;"&amp;BQ69&amp;"&lt;/text&gt;"&amp;IF(ISBLANK(BS69),"",CHAR(13)&amp;CHAR(9)&amp;CHAR(9)&amp;CHAR(9)&amp;"&lt;attack&gt;"&amp;BS69&amp;"|"&amp;BT69&amp;"|"&amp;BU69&amp;"&lt;/attack&gt;")&amp;CHAR(13)&amp;CHAR(9)&amp;CHAR(9)&amp;"&lt;/"&amp;BP69&amp;"&gt;")</f>
        <v/>
      </c>
      <c r="J69" s="3" t="str">
        <f>IF(ISBLANK(BV69),"",CHAR(13)&amp;CHAR(9)&amp;CHAR(9)&amp;"&lt;"&amp;BW69&amp;"&gt;"&amp;CHAR(13)&amp;CHAR(9)&amp;CHAR(9)&amp;CHAR(9)&amp;"&lt;name&gt;"&amp;BV69&amp;"&lt;/name&gt;"&amp;CHAR(13)&amp;CHAR(9)&amp;CHAR(9)&amp;CHAR(9)&amp;"&lt;text&gt;"&amp;BX69&amp;"&lt;/text&gt;"&amp;IF(ISBLANK(BZ69),"",CHAR(13)&amp;CHAR(9)&amp;CHAR(9)&amp;CHAR(9)&amp;"&lt;attack&gt;"&amp;BZ69&amp;"|"&amp;CA69&amp;"|"&amp;CB69&amp;"&lt;/attack&gt;")&amp;CHAR(13)&amp;CHAR(9)&amp;CHAR(9)&amp;"&lt;/"&amp;BW69&amp;"&gt;")</f>
        <v/>
      </c>
      <c r="K69" s="3" t="str">
        <f>IF(ISBLANK(CC69),"",CHAR(13)&amp;CHAR(9)&amp;CHAR(9)&amp;"&lt;"&amp;CD69&amp;"&gt;"&amp;CHAR(13)&amp;CHAR(9)&amp;CHAR(9)&amp;CHAR(9)&amp;"&lt;name&gt;"&amp;CC69&amp;"&lt;/name&gt;"&amp;CHAR(13)&amp;CHAR(9)&amp;CHAR(9)&amp;CHAR(9)&amp;"&lt;text&gt;"&amp;CE69&amp;"&lt;/text&gt;"&amp;IF(ISBLANK(CG69),"",CHAR(13)&amp;CHAR(9)&amp;CHAR(9)&amp;CHAR(9)&amp;"&lt;attack&gt;"&amp;CG69&amp;"|"&amp;CH69&amp;"|"&amp;CI69&amp;"&lt;/attack&gt;")&amp;CHAR(13)&amp;CHAR(9)&amp;CHAR(9)&amp;"&lt;/"&amp;CD69&amp;"&gt;")</f>
        <v/>
      </c>
      <c r="L69" s="1" t="s">
        <v>32</v>
      </c>
      <c r="M69" s="1" t="s">
        <v>275</v>
      </c>
      <c r="N69" s="1">
        <f>DruidAlignment</f>
        <v>0</v>
      </c>
      <c r="O69" s="5" t="s">
        <v>207</v>
      </c>
      <c r="P69" s="1" t="s">
        <v>17</v>
      </c>
      <c r="Q69" s="1">
        <v>10</v>
      </c>
      <c r="R69" s="1"/>
      <c r="S69" s="1">
        <v>11</v>
      </c>
      <c r="T69" s="1">
        <v>40</v>
      </c>
      <c r="Y69" s="1">
        <v>14</v>
      </c>
      <c r="Z69" s="1">
        <v>10</v>
      </c>
      <c r="AA69" s="1">
        <v>13</v>
      </c>
      <c r="AB69" s="10">
        <f>DruidInt</f>
        <v>0</v>
      </c>
      <c r="AC69" s="10">
        <f>DruidWis</f>
        <v>0</v>
      </c>
      <c r="AD69" s="10">
        <f>DruidCha</f>
        <v>0</v>
      </c>
      <c r="AE69" s="12"/>
      <c r="AF69" s="12">
        <v>2</v>
      </c>
      <c r="AG69" s="12"/>
      <c r="AH69" s="12" t="s">
        <v>173</v>
      </c>
      <c r="AI69" s="12" t="str">
        <f>IF(ISBLANK(DruidAcrobatics),"",", Acrobatics +"&amp;DruidAcrobatics)&amp;IF(ISBLANK(DruidAnimalHandling),"",", Animal Handling +"&amp;DruidAnimalHandling)&amp;IF(ISBLANK(DruidArcana),"",", Arcana +"&amp;DruidArcana)&amp;IF(DruidAthletics+AE69=0,"",", Athletics +"&amp;MAX(DruidAthletics,AE69))&amp;IF(ISBLANK(DruidDeception),"",",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+"&amp;DruidNature)&amp;IF(DruidPerception+AF69=0,"",", Perception +"&amp;MAX(DruidPerception,AF69))&amp;IF(ISBLANK(DruidPerformance),"",", Performance +"&amp;DruidPerformance)&amp;IF(ISBLANK(DruidPersuasion),"",", Persuasion +"&amp;DruidPersuasion)&amp;IF(ISBLANK(DruidReligion),"",", Religion +"&amp;DruidReligion)&amp;IF(ISBLANK(DruidSleightofHand),"",", Sleight of Hand +"&amp;DruidSleightofHand)&amp;IF(DruidStealth+AG69=0,"",", Stealth +"&amp;MAX(DruidStealth,AG69))&amp;IF(ISBLANK(DruidSurvival),"",", Survival +"&amp;DruidSurvival)</f>
        <v>, Perception +2</v>
      </c>
      <c r="AJ69" s="1" t="str">
        <f>RIGHT(AI69,LEN(AI69)-2)</f>
        <v>Perception +2</v>
      </c>
      <c r="AK6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69" s="1" t="s">
        <v>173</v>
      </c>
      <c r="AN69" s="3">
        <f>IF(DruidPerception+AF69=0,10+(ROUNDDOWN((AC69-10)/2,0)),10+MAX(DruidPerception,AF69))</f>
        <v>12</v>
      </c>
      <c r="AT69" s="3" t="s">
        <v>363</v>
      </c>
      <c r="AU69" s="3" t="s">
        <v>148</v>
      </c>
      <c r="AV69" s="3" t="s">
        <v>364</v>
      </c>
      <c r="AW69" s="3" t="s">
        <v>173</v>
      </c>
      <c r="AZ69" s="9"/>
      <c r="BA69" s="3" t="s">
        <v>300</v>
      </c>
      <c r="BB69" s="3" t="s">
        <v>148</v>
      </c>
      <c r="BC69" s="3" t="s">
        <v>365</v>
      </c>
      <c r="BD69" s="3" t="s">
        <v>173</v>
      </c>
      <c r="BG69" s="9"/>
      <c r="BH69" s="3" t="s">
        <v>240</v>
      </c>
      <c r="BI69" s="3" t="s">
        <v>150</v>
      </c>
      <c r="BJ69" s="3" t="s">
        <v>469</v>
      </c>
      <c r="BK69" s="3" t="s">
        <v>173</v>
      </c>
      <c r="BL69" s="3" t="s">
        <v>240</v>
      </c>
      <c r="BM69" s="3">
        <v>4</v>
      </c>
      <c r="BN69" s="9" t="s">
        <v>204</v>
      </c>
      <c r="BR69" s="3" t="s">
        <v>173</v>
      </c>
      <c r="BY69" s="3" t="s">
        <v>173</v>
      </c>
      <c r="CJ69" s="6">
        <v>0.125</v>
      </c>
      <c r="CK69" s="6">
        <f>IF(CJ69&lt;0.26,2,IF(CJ69&lt;0.51,4,IF(CJ69&lt;1.1,8,99)))</f>
        <v>2</v>
      </c>
      <c r="CL69" s="3">
        <f>IF(M69="Elemental",10,IF(CJ69&lt;2,2,CJ69*3))</f>
        <v>2</v>
      </c>
      <c r="CM69" s="3">
        <f>IF(W69&gt;0,8,0)</f>
        <v>0</v>
      </c>
      <c r="CN69" s="3">
        <f>IF(X69&gt;0,4,0)</f>
        <v>0</v>
      </c>
    </row>
    <row r="70" spans="1:92">
      <c r="A70" s="3" t="str">
        <f>IF(DruidLevel&lt;B70,"",CHAR(9)&amp;"&lt;monster&gt;"&amp;CHAR(13)&amp;CHAR(9)&amp;CHAR(9)&amp;"&lt;name&gt;"&amp;L70&amp;" (Wild Shape)&lt;/name&gt;"&amp;CHAR(13)&amp;CHAR(9)&amp;CHAR(9)&amp;"&lt;size&gt;"&amp;LEFT(P70,1)&amp;"&lt;/size&gt;"&amp;CHAR(13)&amp;CHAR(9)&amp;CHAR(9)&amp;"&lt;type&gt;"&amp;M70&amp;"&lt;/type&gt;"&amp;CHAR(13)&amp;CHAR(9)&amp;CHAR(9)&amp;"&lt;alignment&gt;"&amp;N70&amp;"&lt;/alignment&gt;"&amp;CHAR(13)&amp;CHAR(9)&amp;CHAR(9)&amp;"&lt;ac&gt;"&amp;Q70&amp;IF(ISBLANK(R70),""," ("&amp;R70&amp;")")&amp;"&lt;/ac&gt;"&amp;CHAR(13)&amp;CHAR(9)&amp;CHAR(9)&amp;"&lt;hp&gt;"&amp;S70&amp;"&lt;/hp&gt;"&amp;CHAR(13)&amp;CHAR(9)&amp;CHAR(9)&amp;"&lt;speed&gt;"&amp;E70&amp;"&lt;/speed&gt;"&amp;CHAR(13)&amp;CHAR(9)&amp;CHAR(9)&amp;"&lt;str&gt;"&amp;Y70&amp;"&lt;/str&gt;&lt;dex&gt;"&amp;Z70&amp;"&lt;/dex&gt;&lt;con&gt;"&amp;AA70&amp;"&lt;/con&gt;&lt;int&gt;"&amp;AB70&amp;"&lt;/int&gt;&lt;wis&gt;"&amp;AC70&amp;"&lt;/wis&gt;&lt;cha&gt;"&amp;AD70&amp;"&lt;/cha&gt;"&amp;CHAR(13)&amp;CHAR(9)&amp;CHAR(9)&amp;"&lt;save&gt;"&amp;AK70&amp;"&lt;/save&gt;"&amp;CHAR(13)&amp;CHAR(9)&amp;CHAR(9)&amp;"&lt;skill&gt;"&amp;AJ70&amp;"&lt;/skill&gt;"&amp;CHAR(13)&amp;CHAR(9)&amp;CHAR(9)&amp;"&lt;vulnerable&gt;"&amp;AO70&amp;"&lt;/vulnerable&gt;"&amp;CHAR(13)&amp;CHAR(9)&amp;CHAR(9)&amp;"&lt;resist&gt;"&amp;AP70&amp;"&lt;/resist&gt;"&amp;CHAR(13)&amp;CHAR(9)&amp;CHAR(9)&amp;"&lt;immune&gt;"&amp;AQ70&amp;"&lt;/immune&gt;"&amp;CHAR(13)&amp;CHAR(9)&amp;CHAR(9)&amp;"&lt;conditionImmune&gt;"&amp;AR70&amp;"&lt;/conditionImmune&gt;"&amp;CHAR(13)&amp;CHAR(9)&amp;CHAR(9)&amp;"&lt;senses&gt;"&amp;AM70&amp;"&lt;/senses&gt;"&amp;CHAR(13)&amp;CHAR(9)&amp;CHAR(9)&amp;"&lt;passive&gt;"&amp;AN70&amp;"&lt;/passive&gt;"&amp;CHAR(13)&amp;CHAR(9)&amp;CHAR(9)&amp;"&lt;languages&gt;"&amp;AS70&amp;"&lt;/languages&gt;"&amp;CHAR(13)&amp;CHAR(9)&amp;CHAR(9)&amp;"&lt;cr&gt;"&amp;O70&amp;"&lt;/cr&gt;"&amp;F70&amp;G70&amp;H70&amp;I70&amp;J70&amp;K70&amp;IF(C70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0" s="3">
        <f>IF(COTM=TRUE,MAX(CL70,CM70,CN70),MAX(CK70,CM70,CN70))</f>
        <v>4</v>
      </c>
      <c r="C70" s="11" t="str">
        <f>IF(COTM=FALSE,"",IF(DruidLevel&gt;5,"Y",""))</f>
        <v/>
      </c>
      <c r="D70" s="3" t="s">
        <v>173</v>
      </c>
      <c r="E70" s="3" t="str">
        <f>T70&amp;" ft."&amp;IF(U70+V70+W70+X70=0,"",", ")&amp;IF(ISBLANK(U70),"","burrow "&amp;U70&amp;" ft."&amp;IF(V70+W70+X70=0,"",", "))&amp;IF(ISBLANK(V70),"","climb "&amp;V70&amp;" ft."&amp;IF(W70+X70=0,"",", "))&amp;IF(ISBLANK(W70),"","fly "&amp;W70&amp;" ft."&amp;IF(X70=0,"",", "))&amp;IF(ISBLANK(X70),"","swim "&amp;X70&amp;" ft.")</f>
        <v>5 ft., swim 30 ft.</v>
      </c>
      <c r="F70" s="3" t="str">
        <f>IF(ISBLANK(AT70),"",CHAR(13)&amp;CHAR(9)&amp;CHAR(9)&amp;"&lt;"&amp;AU70&amp;"&gt;"&amp;CHAR(13)&amp;CHAR(9)&amp;CHAR(9)&amp;CHAR(9)&amp;"&lt;name&gt;"&amp;AT70&amp;"&lt;/name&gt;"&amp;CHAR(13)&amp;CHAR(9)&amp;CHAR(9)&amp;CHAR(9)&amp;"&lt;text&gt;"&amp;AV70&amp;"&lt;/text&gt;"&amp;IF(ISBLANK(AX70),"",CHAR(13)&amp;CHAR(9)&amp;CHAR(9)&amp;CHAR(9)&amp;"&lt;attack&gt;"&amp;AX70&amp;"|"&amp;AY70&amp;"|"&amp;AZ70&amp;"&lt;/attack&gt;")&amp;CHAR(13)&amp;CHAR(9)&amp;CHAR(9)&amp;"&lt;/"&amp;AU70&amp;"&gt;")</f>
        <v>_x000D_		&lt;trait&gt;_x000D_			&lt;name&gt;Hold Breath&lt;/name&gt;_x000D_			&lt;text&gt;While out of water, the octopus can hold its breath for 30 minutes.&lt;/text&gt;_x000D_		&lt;/trait&gt;</v>
      </c>
      <c r="G70" s="3" t="str">
        <f>IF(ISBLANK(BA70),"",CHAR(13)&amp;CHAR(9)&amp;CHAR(9)&amp;"&lt;"&amp;BB70&amp;"&gt;"&amp;CHAR(13)&amp;CHAR(9)&amp;CHAR(9)&amp;CHAR(9)&amp;"&lt;name&gt;"&amp;BA70&amp;"&lt;/name&gt;"&amp;CHAR(13)&amp;CHAR(9)&amp;CHAR(9)&amp;CHAR(9)&amp;"&lt;text&gt;"&amp;BC70&amp;"&lt;/text&gt;"&amp;IF(ISBLANK(BE70),"",CHAR(13)&amp;CHAR(9)&amp;CHAR(9)&amp;CHAR(9)&amp;"&lt;attack&gt;"&amp;BE70&amp;"|"&amp;BF70&amp;"|"&amp;BG70&amp;"&lt;/attack&gt;")&amp;CHAR(13)&amp;CHAR(9)&amp;CHAR(9)&amp;"&lt;/"&amp;BB70&amp;"&gt;")</f>
        <v>_x000D_		&lt;trait&gt;_x000D_			&lt;name&gt;Underwater Camouflage&lt;/name&gt;_x000D_			&lt;text&gt;The octopus has advantage on Dexterity (Stealth) checks made while underwater.&lt;/text&gt;_x000D_		&lt;/trait&gt;</v>
      </c>
      <c r="H70" s="3" t="str">
        <f>IF(ISBLANK(BH70),"",CHAR(13)&amp;CHAR(9)&amp;CHAR(9)&amp;"&lt;"&amp;BI70&amp;"&gt;"&amp;CHAR(13)&amp;CHAR(9)&amp;CHAR(9)&amp;CHAR(9)&amp;"&lt;name&gt;"&amp;BH70&amp;"&lt;/name&gt;"&amp;CHAR(13)&amp;CHAR(9)&amp;CHAR(9)&amp;CHAR(9)&amp;"&lt;text&gt;"&amp;BJ70&amp;"&lt;/text&gt;"&amp;IF(ISBLANK(BL70),"",CHAR(13)&amp;CHAR(9)&amp;CHAR(9)&amp;CHAR(9)&amp;"&lt;attack&gt;"&amp;BL70&amp;"|"&amp;BM70&amp;"|"&amp;BN70&amp;"&lt;/attack&gt;")&amp;CHAR(13)&amp;CHAR(9)&amp;CHAR(9)&amp;"&lt;/"&amp;BI70&amp;"&gt;")</f>
        <v>_x000D_		&lt;trait&gt;_x000D_			&lt;name&gt;Water Breathing&lt;/name&gt;_x000D_			&lt;text&gt;The octopus can breathe only underwater.&lt;/text&gt;_x000D_		&lt;/trait&gt;</v>
      </c>
      <c r="I70" s="3" t="str">
        <f>IF(ISBLANK(BO70),"",CHAR(13)&amp;CHAR(9)&amp;CHAR(9)&amp;"&lt;"&amp;BP70&amp;"&gt;"&amp;CHAR(13)&amp;CHAR(9)&amp;CHAR(9)&amp;CHAR(9)&amp;"&lt;name&gt;"&amp;BO70&amp;"&lt;/name&gt;"&amp;CHAR(13)&amp;CHAR(9)&amp;CHAR(9)&amp;CHAR(9)&amp;"&lt;text&gt;"&amp;BQ70&amp;"&lt;/text&gt;"&amp;IF(ISBLANK(BS70),"",CHAR(13)&amp;CHAR(9)&amp;CHAR(9)&amp;CHAR(9)&amp;"&lt;attack&gt;"&amp;BS70&amp;"|"&amp;BT70&amp;"|"&amp;BU70&amp;"&lt;/attack&gt;")&amp;CHAR(13)&amp;CHAR(9)&amp;CHAR(9)&amp;"&lt;/"&amp;BP70&amp;"&gt;")</f>
        <v>_x000D_		&lt;action&gt;_x000D_			&lt;name&gt;Tentacles&lt;/name&gt;_x000D_			&lt;text&gt;Melee Weapon Attack: +4 to hit, reach 5 ft., one target. Hit: 1 bludgeoning damage, and the target is grappled (escape DC 10). Until this grapple ends, the octopus can't use its tentacles on another target.&lt;/text&gt;_x000D_			&lt;attack&gt;Tentacles|4|1&lt;/attack&gt;_x000D_		&lt;/action&gt;</v>
      </c>
      <c r="J70" s="3" t="str">
        <f>IF(ISBLANK(BV70),"",CHAR(13)&amp;CHAR(9)&amp;CHAR(9)&amp;"&lt;"&amp;BW70&amp;"&gt;"&amp;CHAR(13)&amp;CHAR(9)&amp;CHAR(9)&amp;CHAR(9)&amp;"&lt;name&gt;"&amp;BV70&amp;"&lt;/name&gt;"&amp;CHAR(13)&amp;CHAR(9)&amp;CHAR(9)&amp;CHAR(9)&amp;"&lt;text&gt;"&amp;BX70&amp;"&lt;/text&gt;"&amp;IF(ISBLANK(BZ70),"",CHAR(13)&amp;CHAR(9)&amp;CHAR(9)&amp;CHAR(9)&amp;"&lt;attack&gt;"&amp;BZ70&amp;"|"&amp;CA70&amp;"|"&amp;CB70&amp;"&lt;/attack&gt;")&amp;CHAR(13)&amp;CHAR(9)&amp;CHAR(9)&amp;"&lt;/"&amp;BW70&amp;"&gt;")</f>
        <v>_x000D_		&lt;action&gt;_x000D_			&lt;name&gt;Ink Cloud (Recharges after a Short or Long Rest)&lt;/name&gt;_x000D_			&lt;text&gt;A 5-foot-radius cloud of ink extends all around the octopus if it is underwater. The area is heavily obscured for 1 minute, although a significant current can disperse the ink. After releasing the ink, the octopus can use the Dash action as a bonus action.&lt;/text&gt;_x000D_		&lt;/action&gt;</v>
      </c>
      <c r="K70" s="3" t="str">
        <f>IF(ISBLANK(CC70),"",CHAR(13)&amp;CHAR(9)&amp;CHAR(9)&amp;"&lt;"&amp;CD70&amp;"&gt;"&amp;CHAR(13)&amp;CHAR(9)&amp;CHAR(9)&amp;CHAR(9)&amp;"&lt;name&gt;"&amp;CC70&amp;"&lt;/name&gt;"&amp;CHAR(13)&amp;CHAR(9)&amp;CHAR(9)&amp;CHAR(9)&amp;"&lt;text&gt;"&amp;CE70&amp;"&lt;/text&gt;"&amp;IF(ISBLANK(CG70),"",CHAR(13)&amp;CHAR(9)&amp;CHAR(9)&amp;CHAR(9)&amp;"&lt;attack&gt;"&amp;CG70&amp;"|"&amp;CH70&amp;"|"&amp;CI70&amp;"&lt;/attack&gt;")&amp;CHAR(13)&amp;CHAR(9)&amp;CHAR(9)&amp;"&lt;/"&amp;CD70&amp;"&gt;")</f>
        <v/>
      </c>
      <c r="L70" s="1" t="s">
        <v>61</v>
      </c>
      <c r="M70" s="1" t="s">
        <v>275</v>
      </c>
      <c r="N70" s="1">
        <f>DruidAlignment</f>
        <v>0</v>
      </c>
      <c r="O70" s="2">
        <v>0</v>
      </c>
      <c r="P70" s="1" t="s">
        <v>11</v>
      </c>
      <c r="Q70" s="1">
        <v>12</v>
      </c>
      <c r="R70" s="1"/>
      <c r="S70" s="1">
        <v>3</v>
      </c>
      <c r="T70" s="1">
        <v>5</v>
      </c>
      <c r="X70" s="1">
        <v>30</v>
      </c>
      <c r="Y70" s="1">
        <v>4</v>
      </c>
      <c r="Z70" s="1">
        <v>15</v>
      </c>
      <c r="AA70" s="1">
        <v>11</v>
      </c>
      <c r="AB70" s="10">
        <f>DruidInt</f>
        <v>0</v>
      </c>
      <c r="AC70" s="10">
        <f>DruidWis</f>
        <v>0</v>
      </c>
      <c r="AD70" s="10">
        <f>DruidCha</f>
        <v>0</v>
      </c>
      <c r="AE70" s="12"/>
      <c r="AF70" s="12">
        <v>3</v>
      </c>
      <c r="AG70" s="12">
        <v>4</v>
      </c>
      <c r="AH70" s="12" t="s">
        <v>173</v>
      </c>
      <c r="AI70" s="12" t="str">
        <f>IF(ISBLANK(DruidAcrobatics),"",", Acrobatics +"&amp;DruidAcrobatics)&amp;IF(ISBLANK(DruidAnimalHandling),"",", Animal Handling +"&amp;DruidAnimalHandling)&amp;IF(ISBLANK(DruidArcana),"",", Arcana +"&amp;DruidArcana)&amp;IF(DruidAthletics+AE70=0,"",", Athletics +"&amp;MAX(DruidAthletics,AE70))&amp;IF(ISBLANK(DruidDeception),"",",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+"&amp;DruidNature)&amp;IF(DruidPerception+AF70=0,"",", Perception +"&amp;MAX(DruidPerception,AF70))&amp;IF(ISBLANK(DruidPerformance),"",", Performance +"&amp;DruidPerformance)&amp;IF(ISBLANK(DruidPersuasion),"",", Persuasion +"&amp;DruidPersuasion)&amp;IF(ISBLANK(DruidReligion),"",", Religion +"&amp;DruidReligion)&amp;IF(ISBLANK(DruidSleightofHand),"",", Sleight of Hand +"&amp;DruidSleightofHand)&amp;IF(DruidStealth+AG70=0,"",", Stealth +"&amp;MAX(DruidStealth,AG70))&amp;IF(ISBLANK(DruidSurvival),"",", Survival +"&amp;DruidSurvival)</f>
        <v>, Perception +3, Stealth +4</v>
      </c>
      <c r="AJ70" s="1" t="str">
        <f>RIGHT(AI70,LEN(AI70)-2)</f>
        <v>Perception +3, Stealth +4</v>
      </c>
      <c r="AK7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0" s="1" t="s">
        <v>173</v>
      </c>
      <c r="AM70" s="1" t="s">
        <v>178</v>
      </c>
      <c r="AN70" s="3">
        <f>IF(DruidPerception+AF70=0,10+(ROUNDDOWN((AC70-10)/2,0)),10+MAX(DruidPerception,AF70))</f>
        <v>13</v>
      </c>
      <c r="AO70" s="1"/>
      <c r="AP70" s="1"/>
      <c r="AQ70" s="1"/>
      <c r="AR70" s="1"/>
      <c r="AS70" s="1"/>
      <c r="AT70" s="3" t="s">
        <v>71</v>
      </c>
      <c r="AU70" s="3" t="s">
        <v>148</v>
      </c>
      <c r="AV70" s="3" t="s">
        <v>366</v>
      </c>
      <c r="AW70" s="3" t="s">
        <v>173</v>
      </c>
      <c r="AZ70" s="3"/>
      <c r="BA70" s="3" t="s">
        <v>304</v>
      </c>
      <c r="BB70" s="3" t="s">
        <v>148</v>
      </c>
      <c r="BC70" s="3" t="s">
        <v>305</v>
      </c>
      <c r="BD70" s="3" t="s">
        <v>173</v>
      </c>
      <c r="BG70" s="3"/>
      <c r="BH70" s="3" t="s">
        <v>64</v>
      </c>
      <c r="BI70" s="3" t="s">
        <v>148</v>
      </c>
      <c r="BJ70" s="3" t="s">
        <v>306</v>
      </c>
      <c r="BK70" s="3" t="s">
        <v>173</v>
      </c>
      <c r="BN70" s="3"/>
      <c r="BO70" s="3" t="s">
        <v>307</v>
      </c>
      <c r="BP70" s="3" t="s">
        <v>150</v>
      </c>
      <c r="BQ70" s="3" t="s">
        <v>491</v>
      </c>
      <c r="BR70" s="3" t="s">
        <v>173</v>
      </c>
      <c r="BS70" s="3" t="s">
        <v>307</v>
      </c>
      <c r="BT70" s="3">
        <v>4</v>
      </c>
      <c r="BU70" s="3">
        <v>1</v>
      </c>
      <c r="BV70" s="3" t="s">
        <v>308</v>
      </c>
      <c r="BW70" s="3" t="s">
        <v>150</v>
      </c>
      <c r="BX70" s="3" t="s">
        <v>367</v>
      </c>
      <c r="BY70" s="3" t="s">
        <v>173</v>
      </c>
      <c r="CJ70" s="6">
        <v>0</v>
      </c>
      <c r="CK70" s="6">
        <f>IF(CJ70&lt;0.26,2,IF(CJ70&lt;0.51,4,IF(CJ70&lt;1.1,8,99)))</f>
        <v>2</v>
      </c>
      <c r="CL70" s="3">
        <f>IF(M70="Elemental",10,IF(CJ70&lt;2,2,CJ70*3))</f>
        <v>2</v>
      </c>
      <c r="CM70" s="3">
        <f>IF(W70&gt;0,8,0)</f>
        <v>0</v>
      </c>
      <c r="CN70" s="3">
        <f>IF(X70&gt;0,4,0)</f>
        <v>4</v>
      </c>
    </row>
    <row r="71" spans="1:92">
      <c r="A71" s="3" t="str">
        <f>IF(DruidLevel&lt;B71,"",CHAR(9)&amp;"&lt;monster&gt;"&amp;CHAR(13)&amp;CHAR(9)&amp;CHAR(9)&amp;"&lt;name&gt;"&amp;L71&amp;" (Wild Shape)&lt;/name&gt;"&amp;CHAR(13)&amp;CHAR(9)&amp;CHAR(9)&amp;"&lt;size&gt;"&amp;LEFT(P71,1)&amp;"&lt;/size&gt;"&amp;CHAR(13)&amp;CHAR(9)&amp;CHAR(9)&amp;"&lt;type&gt;"&amp;M71&amp;"&lt;/type&gt;"&amp;CHAR(13)&amp;CHAR(9)&amp;CHAR(9)&amp;"&lt;alignment&gt;"&amp;N71&amp;"&lt;/alignment&gt;"&amp;CHAR(13)&amp;CHAR(9)&amp;CHAR(9)&amp;"&lt;ac&gt;"&amp;Q71&amp;IF(ISBLANK(R71),""," ("&amp;R71&amp;")")&amp;"&lt;/ac&gt;"&amp;CHAR(13)&amp;CHAR(9)&amp;CHAR(9)&amp;"&lt;hp&gt;"&amp;S71&amp;"&lt;/hp&gt;"&amp;CHAR(13)&amp;CHAR(9)&amp;CHAR(9)&amp;"&lt;speed&gt;"&amp;E71&amp;"&lt;/speed&gt;"&amp;CHAR(13)&amp;CHAR(9)&amp;CHAR(9)&amp;"&lt;str&gt;"&amp;Y71&amp;"&lt;/str&gt;&lt;dex&gt;"&amp;Z71&amp;"&lt;/dex&gt;&lt;con&gt;"&amp;AA71&amp;"&lt;/con&gt;&lt;int&gt;"&amp;AB71&amp;"&lt;/int&gt;&lt;wis&gt;"&amp;AC71&amp;"&lt;/wis&gt;&lt;cha&gt;"&amp;AD71&amp;"&lt;/cha&gt;"&amp;CHAR(13)&amp;CHAR(9)&amp;CHAR(9)&amp;"&lt;save&gt;"&amp;AK71&amp;"&lt;/save&gt;"&amp;CHAR(13)&amp;CHAR(9)&amp;CHAR(9)&amp;"&lt;skill&gt;"&amp;AJ71&amp;"&lt;/skill&gt;"&amp;CHAR(13)&amp;CHAR(9)&amp;CHAR(9)&amp;"&lt;vulnerable&gt;"&amp;AO71&amp;"&lt;/vulnerable&gt;"&amp;CHAR(13)&amp;CHAR(9)&amp;CHAR(9)&amp;"&lt;resist&gt;"&amp;AP71&amp;"&lt;/resist&gt;"&amp;CHAR(13)&amp;CHAR(9)&amp;CHAR(9)&amp;"&lt;immune&gt;"&amp;AQ71&amp;"&lt;/immune&gt;"&amp;CHAR(13)&amp;CHAR(9)&amp;CHAR(9)&amp;"&lt;conditionImmune&gt;"&amp;AR71&amp;"&lt;/conditionImmune&gt;"&amp;CHAR(13)&amp;CHAR(9)&amp;CHAR(9)&amp;"&lt;senses&gt;"&amp;AM71&amp;"&lt;/senses&gt;"&amp;CHAR(13)&amp;CHAR(9)&amp;CHAR(9)&amp;"&lt;passive&gt;"&amp;AN71&amp;"&lt;/passive&gt;"&amp;CHAR(13)&amp;CHAR(9)&amp;CHAR(9)&amp;"&lt;languages&gt;"&amp;AS71&amp;"&lt;/languages&gt;"&amp;CHAR(13)&amp;CHAR(9)&amp;CHAR(9)&amp;"&lt;cr&gt;"&amp;O71&amp;"&lt;/cr&gt;"&amp;F71&amp;G71&amp;H71&amp;I71&amp;J71&amp;K71&amp;IF(C71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1" s="3">
        <f>IF(COTM=TRUE,MAX(CL71,CM71,CN71),MAX(CK71,CM71,CN71))</f>
        <v>8</v>
      </c>
      <c r="C71" s="11" t="str">
        <f>IF(COTM=FALSE,"",IF(DruidLevel&gt;5,"Y",""))</f>
        <v/>
      </c>
      <c r="D71" s="3" t="s">
        <v>173</v>
      </c>
      <c r="E71" s="3" t="str">
        <f>T71&amp;" ft."&amp;IF(U71+V71+W71+X71=0,"",", ")&amp;IF(ISBLANK(U71),"","burrow "&amp;U71&amp;" ft."&amp;IF(V71+W71+X71=0,"",", "))&amp;IF(ISBLANK(V71),"","climb "&amp;V71&amp;" ft."&amp;IF(W71+X71=0,"",", "))&amp;IF(ISBLANK(W71),"","fly "&amp;W71&amp;" ft."&amp;IF(X71=0,"",", "))&amp;IF(ISBLANK(X71),"","swim "&amp;X71&amp;" ft.")</f>
        <v>5 ft., fly 60 ft.</v>
      </c>
      <c r="F71" s="3" t="str">
        <f>IF(ISBLANK(AT71),"",CHAR(13)&amp;CHAR(9)&amp;CHAR(9)&amp;"&lt;"&amp;AU71&amp;"&gt;"&amp;CHAR(13)&amp;CHAR(9)&amp;CHAR(9)&amp;CHAR(9)&amp;"&lt;name&gt;"&amp;AT71&amp;"&lt;/name&gt;"&amp;CHAR(13)&amp;CHAR(9)&amp;CHAR(9)&amp;CHAR(9)&amp;"&lt;text&gt;"&amp;AV71&amp;"&lt;/text&gt;"&amp;IF(ISBLANK(AX71),"",CHAR(13)&amp;CHAR(9)&amp;CHAR(9)&amp;CHAR(9)&amp;"&lt;attack&gt;"&amp;AX71&amp;"|"&amp;AY71&amp;"|"&amp;AZ71&amp;"&lt;/attack&gt;")&amp;CHAR(13)&amp;CHAR(9)&amp;CHAR(9)&amp;"&lt;/"&amp;AU71&amp;"&gt;")</f>
        <v>_x000D_		&lt;trait&gt;_x000D_			&lt;name&gt;Flyby&lt;/name&gt;_x000D_			&lt;text&gt;The owl doesn't provoke opportunity attacks when it flies out of an enemy's reach.&lt;/text&gt;_x000D_		&lt;/trait&gt;</v>
      </c>
      <c r="G71" s="3" t="str">
        <f>IF(ISBLANK(BA71),"",CHAR(13)&amp;CHAR(9)&amp;CHAR(9)&amp;"&lt;"&amp;BB71&amp;"&gt;"&amp;CHAR(13)&amp;CHAR(9)&amp;CHAR(9)&amp;CHAR(9)&amp;"&lt;name&gt;"&amp;BA71&amp;"&lt;/name&gt;"&amp;CHAR(13)&amp;CHAR(9)&amp;CHAR(9)&amp;CHAR(9)&amp;"&lt;text&gt;"&amp;BC71&amp;"&lt;/text&gt;"&amp;IF(ISBLANK(BE71),"",CHAR(13)&amp;CHAR(9)&amp;CHAR(9)&amp;CHAR(9)&amp;"&lt;attack&gt;"&amp;BE71&amp;"|"&amp;BF71&amp;"|"&amp;BG71&amp;"&lt;/attack&gt;")&amp;CHAR(13)&amp;CHAR(9)&amp;CHAR(9)&amp;"&lt;/"&amp;BB71&amp;"&gt;")</f>
        <v>_x000D_		&lt;trait&gt;_x000D_			&lt;name&gt;Keen Hearing and Sight&lt;/name&gt;_x000D_			&lt;text&gt;The owl has advantage on Wisdom (Perception) checks that rely on hearing or sight.&lt;/text&gt;_x000D_		&lt;/trait&gt;</v>
      </c>
      <c r="H71" s="3" t="str">
        <f>IF(ISBLANK(BH71),"",CHAR(13)&amp;CHAR(9)&amp;CHAR(9)&amp;"&lt;"&amp;BI71&amp;"&gt;"&amp;CHAR(13)&amp;CHAR(9)&amp;CHAR(9)&amp;CHAR(9)&amp;"&lt;name&gt;"&amp;BH71&amp;"&lt;/name&gt;"&amp;CHAR(13)&amp;CHAR(9)&amp;CHAR(9)&amp;CHAR(9)&amp;"&lt;text&gt;"&amp;BJ71&amp;"&lt;/text&gt;"&amp;IF(ISBLANK(BL71),"",CHAR(13)&amp;CHAR(9)&amp;CHAR(9)&amp;CHAR(9)&amp;"&lt;attack&gt;"&amp;BL71&amp;"|"&amp;BM71&amp;"|"&amp;BN71&amp;"&lt;/attack&gt;")&amp;CHAR(13)&amp;CHAR(9)&amp;CHAR(9)&amp;"&lt;/"&amp;BI71&amp;"&gt;")</f>
        <v>_x000D_		&lt;action&gt;_x000D_			&lt;name&gt;Talons&lt;/name&gt;_x000D_			&lt;text&gt;Melee Weapon Attack: +3 to hit, reach 5 ft., one target. Hit: 1 slashing damage.&lt;/text&gt;_x000D_			&lt;attack&gt;Talons|3|1&lt;/attack&gt;_x000D_		&lt;/action&gt;</v>
      </c>
      <c r="I71" s="3" t="str">
        <f>IF(ISBLANK(BO71),"",CHAR(13)&amp;CHAR(9)&amp;CHAR(9)&amp;"&lt;"&amp;BP71&amp;"&gt;"&amp;CHAR(13)&amp;CHAR(9)&amp;CHAR(9)&amp;CHAR(9)&amp;"&lt;name&gt;"&amp;BO71&amp;"&lt;/name&gt;"&amp;CHAR(13)&amp;CHAR(9)&amp;CHAR(9)&amp;CHAR(9)&amp;"&lt;text&gt;"&amp;BQ71&amp;"&lt;/text&gt;"&amp;IF(ISBLANK(BS71),"",CHAR(13)&amp;CHAR(9)&amp;CHAR(9)&amp;CHAR(9)&amp;"&lt;attack&gt;"&amp;BS71&amp;"|"&amp;BT71&amp;"|"&amp;BU71&amp;"&lt;/attack&gt;")&amp;CHAR(13)&amp;CHAR(9)&amp;CHAR(9)&amp;"&lt;/"&amp;BP71&amp;"&gt;")</f>
        <v/>
      </c>
      <c r="J71" s="3" t="str">
        <f>IF(ISBLANK(BV71),"",CHAR(13)&amp;CHAR(9)&amp;CHAR(9)&amp;"&lt;"&amp;BW71&amp;"&gt;"&amp;CHAR(13)&amp;CHAR(9)&amp;CHAR(9)&amp;CHAR(9)&amp;"&lt;name&gt;"&amp;BV71&amp;"&lt;/name&gt;"&amp;CHAR(13)&amp;CHAR(9)&amp;CHAR(9)&amp;CHAR(9)&amp;"&lt;text&gt;"&amp;BX71&amp;"&lt;/text&gt;"&amp;IF(ISBLANK(BZ71),"",CHAR(13)&amp;CHAR(9)&amp;CHAR(9)&amp;CHAR(9)&amp;"&lt;attack&gt;"&amp;BZ71&amp;"|"&amp;CA71&amp;"|"&amp;CB71&amp;"&lt;/attack&gt;")&amp;CHAR(13)&amp;CHAR(9)&amp;CHAR(9)&amp;"&lt;/"&amp;BW71&amp;"&gt;")</f>
        <v/>
      </c>
      <c r="K71" s="3" t="str">
        <f>IF(ISBLANK(CC71),"",CHAR(13)&amp;CHAR(9)&amp;CHAR(9)&amp;"&lt;"&amp;CD71&amp;"&gt;"&amp;CHAR(13)&amp;CHAR(9)&amp;CHAR(9)&amp;CHAR(9)&amp;"&lt;name&gt;"&amp;CC71&amp;"&lt;/name&gt;"&amp;CHAR(13)&amp;CHAR(9)&amp;CHAR(9)&amp;CHAR(9)&amp;"&lt;text&gt;"&amp;CE71&amp;"&lt;/text&gt;"&amp;IF(ISBLANK(CG71),"",CHAR(13)&amp;CHAR(9)&amp;CHAR(9)&amp;CHAR(9)&amp;"&lt;attack&gt;"&amp;CG71&amp;"|"&amp;CH71&amp;"|"&amp;CI71&amp;"&lt;/attack&gt;")&amp;CHAR(13)&amp;CHAR(9)&amp;CHAR(9)&amp;"&lt;/"&amp;CD71&amp;"&gt;")</f>
        <v/>
      </c>
      <c r="L71" s="1" t="s">
        <v>90</v>
      </c>
      <c r="M71" s="1" t="s">
        <v>275</v>
      </c>
      <c r="N71" s="1">
        <f>DruidAlignment</f>
        <v>0</v>
      </c>
      <c r="O71" s="2">
        <v>0</v>
      </c>
      <c r="P71" s="1" t="s">
        <v>0</v>
      </c>
      <c r="Q71" s="1">
        <v>11</v>
      </c>
      <c r="R71" s="1"/>
      <c r="S71" s="1">
        <v>1</v>
      </c>
      <c r="T71" s="1">
        <v>5</v>
      </c>
      <c r="W71" s="1">
        <v>60</v>
      </c>
      <c r="Y71" s="1">
        <v>3</v>
      </c>
      <c r="Z71" s="1">
        <v>13</v>
      </c>
      <c r="AA71" s="1">
        <v>8</v>
      </c>
      <c r="AB71" s="10">
        <f>DruidInt</f>
        <v>0</v>
      </c>
      <c r="AC71" s="10">
        <f>DruidWis</f>
        <v>0</v>
      </c>
      <c r="AD71" s="10">
        <f>DruidCha</f>
        <v>0</v>
      </c>
      <c r="AE71" s="12"/>
      <c r="AF71" s="12">
        <v>2</v>
      </c>
      <c r="AG71" s="12">
        <v>3</v>
      </c>
      <c r="AH71" s="12" t="s">
        <v>173</v>
      </c>
      <c r="AI71" s="12" t="str">
        <f>IF(ISBLANK(DruidAcrobatics),"",", Acrobatics +"&amp;DruidAcrobatics)&amp;IF(ISBLANK(DruidAnimalHandling),"",", Animal Handling +"&amp;DruidAnimalHandling)&amp;IF(ISBLANK(DruidArcana),"",", Arcana +"&amp;DruidArcana)&amp;IF(DruidAthletics+AE71=0,"",", Athletics +"&amp;MAX(DruidAthletics,AE71))&amp;IF(ISBLANK(DruidDeception),"",",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+"&amp;DruidNature)&amp;IF(DruidPerception+AF71=0,"",", Perception +"&amp;MAX(DruidPerception,AF71))&amp;IF(ISBLANK(DruidPerformance),"",", Performance +"&amp;DruidPerformance)&amp;IF(ISBLANK(DruidPersuasion),"",", Persuasion +"&amp;DruidPersuasion)&amp;IF(ISBLANK(DruidReligion),"",", Religion +"&amp;DruidReligion)&amp;IF(ISBLANK(DruidSleightofHand),"",", Sleight of Hand +"&amp;DruidSleightofHand)&amp;IF(DruidStealth+AG71=0,"",", Stealth +"&amp;MAX(DruidStealth,AG71))&amp;IF(ISBLANK(DruidSurvival),"",", Survival +"&amp;DruidSurvival)</f>
        <v>, Perception +2, Stealth +3</v>
      </c>
      <c r="AJ71" s="1" t="str">
        <f>RIGHT(AI71,LEN(AI71)-2)</f>
        <v>Perception +2, Stealth +3</v>
      </c>
      <c r="AK7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1" s="1" t="s">
        <v>173</v>
      </c>
      <c r="AM71" s="1" t="s">
        <v>182</v>
      </c>
      <c r="AN71" s="3">
        <f>IF(DruidPerception+AF71=0,10+(ROUNDDOWN((AC71-10)/2,0)),10+MAX(DruidPerception,AF71))</f>
        <v>12</v>
      </c>
      <c r="AO71" s="1"/>
      <c r="AP71" s="1"/>
      <c r="AQ71" s="1"/>
      <c r="AR71" s="1"/>
      <c r="AS71" s="1"/>
      <c r="AT71" s="3" t="s">
        <v>95</v>
      </c>
      <c r="AU71" s="3" t="s">
        <v>148</v>
      </c>
      <c r="AV71" s="3" t="s">
        <v>495</v>
      </c>
      <c r="AW71" s="3" t="s">
        <v>173</v>
      </c>
      <c r="AZ71" s="3"/>
      <c r="BA71" s="3" t="s">
        <v>309</v>
      </c>
      <c r="BB71" s="3" t="s">
        <v>148</v>
      </c>
      <c r="BC71" s="3" t="s">
        <v>310</v>
      </c>
      <c r="BD71" s="3" t="s">
        <v>173</v>
      </c>
      <c r="BG71" s="3"/>
      <c r="BH71" s="3" t="s">
        <v>243</v>
      </c>
      <c r="BI71" s="3" t="s">
        <v>150</v>
      </c>
      <c r="BJ71" s="3" t="s">
        <v>368</v>
      </c>
      <c r="BK71" s="3" t="s">
        <v>173</v>
      </c>
      <c r="BL71" s="3" t="s">
        <v>243</v>
      </c>
      <c r="BM71" s="3">
        <v>3</v>
      </c>
      <c r="BN71" s="3">
        <v>1</v>
      </c>
      <c r="BR71" s="3" t="s">
        <v>173</v>
      </c>
      <c r="BY71" s="3" t="s">
        <v>173</v>
      </c>
      <c r="CJ71" s="6">
        <v>0</v>
      </c>
      <c r="CK71" s="6">
        <f>IF(CJ71&lt;0.26,2,IF(CJ71&lt;0.51,4,IF(CJ71&lt;1.1,8,99)))</f>
        <v>2</v>
      </c>
      <c r="CL71" s="3">
        <f>IF(M71="Elemental",10,IF(CJ71&lt;2,2,CJ71*3))</f>
        <v>2</v>
      </c>
      <c r="CM71" s="3">
        <f>IF(W71&gt;0,8,0)</f>
        <v>8</v>
      </c>
      <c r="CN71" s="3">
        <f>IF(X71&gt;0,4,0)</f>
        <v>0</v>
      </c>
    </row>
    <row r="72" spans="1:92">
      <c r="A72" s="3" t="str">
        <f>IF(DruidLevel&lt;B72,"",CHAR(9)&amp;"&lt;monster&gt;"&amp;CHAR(13)&amp;CHAR(9)&amp;CHAR(9)&amp;"&lt;name&gt;"&amp;L72&amp;" (Wild Shape)&lt;/name&gt;"&amp;CHAR(13)&amp;CHAR(9)&amp;CHAR(9)&amp;"&lt;size&gt;"&amp;LEFT(P72,1)&amp;"&lt;/size&gt;"&amp;CHAR(13)&amp;CHAR(9)&amp;CHAR(9)&amp;"&lt;type&gt;"&amp;M72&amp;"&lt;/type&gt;"&amp;CHAR(13)&amp;CHAR(9)&amp;CHAR(9)&amp;"&lt;alignment&gt;"&amp;N72&amp;"&lt;/alignment&gt;"&amp;CHAR(13)&amp;CHAR(9)&amp;CHAR(9)&amp;"&lt;ac&gt;"&amp;Q72&amp;IF(ISBLANK(R72),""," ("&amp;R72&amp;")")&amp;"&lt;/ac&gt;"&amp;CHAR(13)&amp;CHAR(9)&amp;CHAR(9)&amp;"&lt;hp&gt;"&amp;S72&amp;"&lt;/hp&gt;"&amp;CHAR(13)&amp;CHAR(9)&amp;CHAR(9)&amp;"&lt;speed&gt;"&amp;E72&amp;"&lt;/speed&gt;"&amp;CHAR(13)&amp;CHAR(9)&amp;CHAR(9)&amp;"&lt;str&gt;"&amp;Y72&amp;"&lt;/str&gt;&lt;dex&gt;"&amp;Z72&amp;"&lt;/dex&gt;&lt;con&gt;"&amp;AA72&amp;"&lt;/con&gt;&lt;int&gt;"&amp;AB72&amp;"&lt;/int&gt;&lt;wis&gt;"&amp;AC72&amp;"&lt;/wis&gt;&lt;cha&gt;"&amp;AD72&amp;"&lt;/cha&gt;"&amp;CHAR(13)&amp;CHAR(9)&amp;CHAR(9)&amp;"&lt;save&gt;"&amp;AK72&amp;"&lt;/save&gt;"&amp;CHAR(13)&amp;CHAR(9)&amp;CHAR(9)&amp;"&lt;skill&gt;"&amp;AJ72&amp;"&lt;/skill&gt;"&amp;CHAR(13)&amp;CHAR(9)&amp;CHAR(9)&amp;"&lt;vulnerable&gt;"&amp;AO72&amp;"&lt;/vulnerable&gt;"&amp;CHAR(13)&amp;CHAR(9)&amp;CHAR(9)&amp;"&lt;resist&gt;"&amp;AP72&amp;"&lt;/resist&gt;"&amp;CHAR(13)&amp;CHAR(9)&amp;CHAR(9)&amp;"&lt;immune&gt;"&amp;AQ72&amp;"&lt;/immune&gt;"&amp;CHAR(13)&amp;CHAR(9)&amp;CHAR(9)&amp;"&lt;conditionImmune&gt;"&amp;AR72&amp;"&lt;/conditionImmune&gt;"&amp;CHAR(13)&amp;CHAR(9)&amp;CHAR(9)&amp;"&lt;senses&gt;"&amp;AM72&amp;"&lt;/senses&gt;"&amp;CHAR(13)&amp;CHAR(9)&amp;CHAR(9)&amp;"&lt;passive&gt;"&amp;AN72&amp;"&lt;/passive&gt;"&amp;CHAR(13)&amp;CHAR(9)&amp;CHAR(9)&amp;"&lt;languages&gt;"&amp;AS72&amp;"&lt;/languages&gt;"&amp;CHAR(13)&amp;CHAR(9)&amp;CHAR(9)&amp;"&lt;cr&gt;"&amp;O72&amp;"&lt;/cr&gt;"&amp;F72&amp;G72&amp;H72&amp;I72&amp;J72&amp;K72&amp;IF(C72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2" s="3">
        <f>IF(COTM=TRUE,MAX(CL72,CM72,CN72),MAX(CK72,CM72,CN72))</f>
        <v>2</v>
      </c>
      <c r="C72" s="11" t="str">
        <f>IF(COTM=FALSE,"",IF(DruidLevel&gt;5,"Y",""))</f>
        <v/>
      </c>
      <c r="D72" s="3" t="s">
        <v>173</v>
      </c>
      <c r="E72" s="3" t="str">
        <f>T72&amp;" ft."&amp;IF(U72+V72+W72+X72=0,"",", ")&amp;IF(ISBLANK(U72),"","burrow "&amp;U72&amp;" ft."&amp;IF(V72+W72+X72=0,"",", "))&amp;IF(ISBLANK(V72),"","climb "&amp;V72&amp;" ft."&amp;IF(W72+X72=0,"",", "))&amp;IF(ISBLANK(W72),"","fly "&amp;W72&amp;" ft."&amp;IF(X72=0,"",", "))&amp;IF(ISBLANK(X72),"","swim "&amp;X72&amp;" ft.")</f>
        <v>50 ft., climb 40 ft.</v>
      </c>
      <c r="F72" s="3" t="str">
        <f>IF(ISBLANK(AT72),"",CHAR(13)&amp;CHAR(9)&amp;CHAR(9)&amp;"&lt;"&amp;AU72&amp;"&gt;"&amp;CHAR(13)&amp;CHAR(9)&amp;CHAR(9)&amp;CHAR(9)&amp;"&lt;name&gt;"&amp;AT72&amp;"&lt;/name&gt;"&amp;CHAR(13)&amp;CHAR(9)&amp;CHAR(9)&amp;CHAR(9)&amp;"&lt;text&gt;"&amp;AV72&amp;"&lt;/text&gt;"&amp;IF(ISBLANK(AX72),"",CHAR(13)&amp;CHAR(9)&amp;CHAR(9)&amp;CHAR(9)&amp;"&lt;attack&gt;"&amp;AX72&amp;"|"&amp;AY72&amp;"|"&amp;AZ72&amp;"&lt;/attack&gt;")&amp;CHAR(13)&amp;CHAR(9)&amp;CHAR(9)&amp;"&lt;/"&amp;AU72&amp;"&gt;")</f>
        <v>_x000D_		&lt;trait&gt;_x000D_			&lt;name&gt;Keen Smell&lt;/name&gt;_x000D_			&lt;text&gt;The panther has advantage on Wisdom (Perception) checks that rely on smell.&lt;/text&gt;_x000D_		&lt;/trait&gt;</v>
      </c>
      <c r="G72" s="3" t="str">
        <f>IF(ISBLANK(BA72),"",CHAR(13)&amp;CHAR(9)&amp;CHAR(9)&amp;"&lt;"&amp;BB72&amp;"&gt;"&amp;CHAR(13)&amp;CHAR(9)&amp;CHAR(9)&amp;CHAR(9)&amp;"&lt;name&gt;"&amp;BA72&amp;"&lt;/name&gt;"&amp;CHAR(13)&amp;CHAR(9)&amp;CHAR(9)&amp;CHAR(9)&amp;"&lt;text&gt;"&amp;BC72&amp;"&lt;/text&gt;"&amp;IF(ISBLANK(BE72),"",CHAR(13)&amp;CHAR(9)&amp;CHAR(9)&amp;CHAR(9)&amp;"&lt;attack&gt;"&amp;BE72&amp;"|"&amp;BF72&amp;"|"&amp;BG72&amp;"&lt;/attack&gt;")&amp;CHAR(13)&amp;CHAR(9)&amp;CHAR(9)&amp;"&lt;/"&amp;BB72&amp;"&gt;")</f>
        <v>_x000D_		&lt;trait&gt;_x000D_			&lt;name&gt;Pounce&lt;/name&gt;_x000D_			&lt;text&gt;If the panther moves at least 20 feet straight toward a creature and then hits it with a claw attack on the same turn, that target must succeed on a DC 12 Strength saving throw or be knocked prone. If the target is prone, the panther can make one bite attack against it as a bonus action.&lt;/text&gt;_x000D_		&lt;/trait&gt;</v>
      </c>
      <c r="H72" s="3" t="str">
        <f>IF(ISBLANK(BH72),"",CHAR(13)&amp;CHAR(9)&amp;CHAR(9)&amp;"&lt;"&amp;BI72&amp;"&gt;"&amp;CHAR(13)&amp;CHAR(9)&amp;CHAR(9)&amp;CHAR(9)&amp;"&lt;name&gt;"&amp;BH72&amp;"&lt;/name&gt;"&amp;CHAR(13)&amp;CHAR(9)&amp;CHAR(9)&amp;CHAR(9)&amp;"&lt;text&gt;"&amp;BJ72&amp;"&lt;/text&gt;"&amp;IF(ISBLANK(BL72),"",CHAR(13)&amp;CHAR(9)&amp;CHAR(9)&amp;CHAR(9)&amp;"&lt;attack&gt;"&amp;BL72&amp;"|"&amp;BM72&amp;"|"&amp;BN72&amp;"&lt;/attack&gt;")&amp;CHAR(13)&amp;CHAR(9)&amp;CHAR(9)&amp;"&lt;/"&amp;BI72&amp;"&gt;")</f>
        <v>_x000D_		&lt;action&gt;_x000D_			&lt;name&gt;Bite&lt;/name&gt;_x000D_			&lt;text&gt;Melee Weapon Attack: +4 to hit, reach 5 ft., one target. Hit: 5 (1d6+2) piercing damage.&lt;/text&gt;_x000D_			&lt;attack&gt;Bite|4|1d6+2&lt;/attack&gt;_x000D_		&lt;/action&gt;</v>
      </c>
      <c r="I72" s="3" t="str">
        <f>IF(ISBLANK(BO72),"",CHAR(13)&amp;CHAR(9)&amp;CHAR(9)&amp;"&lt;"&amp;BP72&amp;"&gt;"&amp;CHAR(13)&amp;CHAR(9)&amp;CHAR(9)&amp;CHAR(9)&amp;"&lt;name&gt;"&amp;BO72&amp;"&lt;/name&gt;"&amp;CHAR(13)&amp;CHAR(9)&amp;CHAR(9)&amp;CHAR(9)&amp;"&lt;text&gt;"&amp;BQ72&amp;"&lt;/text&gt;"&amp;IF(ISBLANK(BS72),"",CHAR(13)&amp;CHAR(9)&amp;CHAR(9)&amp;CHAR(9)&amp;"&lt;attack&gt;"&amp;BS72&amp;"|"&amp;BT72&amp;"|"&amp;BU72&amp;"&lt;/attack&gt;")&amp;CHAR(13)&amp;CHAR(9)&amp;CHAR(9)&amp;"&lt;/"&amp;BP72&amp;"&gt;")</f>
        <v>_x000D_		&lt;action&gt;_x000D_			&lt;name&gt;Claw&lt;/name&gt;_x000D_			&lt;text&gt;Melee Weapon Attack: +4 to hit, reach 5 ft., one target. Hit: 4 (1d4+2) slashing damage.&lt;/text&gt;_x000D_			&lt;attack&gt;Claw|4|1d4+2&lt;/attack&gt;_x000D_		&lt;/action&gt;</v>
      </c>
      <c r="J72" s="3" t="str">
        <f>IF(ISBLANK(BV72),"",CHAR(13)&amp;CHAR(9)&amp;CHAR(9)&amp;"&lt;"&amp;BW72&amp;"&gt;"&amp;CHAR(13)&amp;CHAR(9)&amp;CHAR(9)&amp;CHAR(9)&amp;"&lt;name&gt;"&amp;BV72&amp;"&lt;/name&gt;"&amp;CHAR(13)&amp;CHAR(9)&amp;CHAR(9)&amp;CHAR(9)&amp;"&lt;text&gt;"&amp;BX72&amp;"&lt;/text&gt;"&amp;IF(ISBLANK(BZ72),"",CHAR(13)&amp;CHAR(9)&amp;CHAR(9)&amp;CHAR(9)&amp;"&lt;attack&gt;"&amp;BZ72&amp;"|"&amp;CA72&amp;"|"&amp;CB72&amp;"&lt;/attack&gt;")&amp;CHAR(13)&amp;CHAR(9)&amp;CHAR(9)&amp;"&lt;/"&amp;BW72&amp;"&gt;")</f>
        <v/>
      </c>
      <c r="K72" s="3" t="str">
        <f>IF(ISBLANK(CC72),"",CHAR(13)&amp;CHAR(9)&amp;CHAR(9)&amp;"&lt;"&amp;CD72&amp;"&gt;"&amp;CHAR(13)&amp;CHAR(9)&amp;CHAR(9)&amp;CHAR(9)&amp;"&lt;name&gt;"&amp;CC72&amp;"&lt;/name&gt;"&amp;CHAR(13)&amp;CHAR(9)&amp;CHAR(9)&amp;CHAR(9)&amp;"&lt;text&gt;"&amp;CE72&amp;"&lt;/text&gt;"&amp;IF(ISBLANK(CG72),"",CHAR(13)&amp;CHAR(9)&amp;CHAR(9)&amp;CHAR(9)&amp;"&lt;attack&gt;"&amp;CG72&amp;"|"&amp;CH72&amp;"|"&amp;CI72&amp;"&lt;/attack&gt;")&amp;CHAR(13)&amp;CHAR(9)&amp;CHAR(9)&amp;"&lt;/"&amp;CD72&amp;"&gt;")</f>
        <v/>
      </c>
      <c r="L72" s="1" t="s">
        <v>43</v>
      </c>
      <c r="M72" s="1" t="s">
        <v>275</v>
      </c>
      <c r="N72" s="1">
        <f>DruidAlignment</f>
        <v>0</v>
      </c>
      <c r="O72" s="2" t="s">
        <v>208</v>
      </c>
      <c r="P72" s="1" t="s">
        <v>17</v>
      </c>
      <c r="Q72" s="1">
        <v>12</v>
      </c>
      <c r="R72" s="1"/>
      <c r="S72" s="1">
        <v>13</v>
      </c>
      <c r="T72" s="1">
        <v>50</v>
      </c>
      <c r="V72" s="1">
        <v>40</v>
      </c>
      <c r="Y72" s="1">
        <v>14</v>
      </c>
      <c r="Z72" s="1">
        <v>15</v>
      </c>
      <c r="AA72" s="1">
        <v>10</v>
      </c>
      <c r="AB72" s="10">
        <f>DruidInt</f>
        <v>0</v>
      </c>
      <c r="AC72" s="10">
        <f>DruidWis</f>
        <v>0</v>
      </c>
      <c r="AD72" s="10">
        <f>DruidCha</f>
        <v>0</v>
      </c>
      <c r="AE72" s="12"/>
      <c r="AF72" s="12"/>
      <c r="AG72" s="12">
        <v>6</v>
      </c>
      <c r="AH72" s="12" t="s">
        <v>173</v>
      </c>
      <c r="AI72" s="12" t="str">
        <f>IF(ISBLANK(DruidAcrobatics),"",", Acrobatics +"&amp;DruidAcrobatics)&amp;IF(ISBLANK(DruidAnimalHandling),"",", Animal Handling +"&amp;DruidAnimalHandling)&amp;IF(ISBLANK(DruidArcana),"",", Arcana +"&amp;DruidArcana)&amp;IF(DruidAthletics+AE72=0,"",", Athletics +"&amp;MAX(DruidAthletics,AE72))&amp;IF(ISBLANK(DruidDeception),"",",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+"&amp;DruidNature)&amp;IF(DruidPerception+AF72=0,"",", Perception +"&amp;MAX(DruidPerception,AF72))&amp;IF(ISBLANK(DruidPerformance),"",", Performance +"&amp;DruidPerformance)&amp;IF(ISBLANK(DruidPersuasion),"",", Persuasion +"&amp;DruidPersuasion)&amp;IF(ISBLANK(DruidReligion),"",", Religion +"&amp;DruidReligion)&amp;IF(ISBLANK(DruidSleightofHand),"",", Sleight of Hand +"&amp;DruidSleightofHand)&amp;IF(DruidStealth+AG72=0,"",", Stealth +"&amp;MAX(DruidStealth,AG72))&amp;IF(ISBLANK(DruidSurvival),"",", Survival +"&amp;DruidSurvival)</f>
        <v>, Stealth +6</v>
      </c>
      <c r="AJ72" s="1" t="str">
        <f>RIGHT(AI72,LEN(AI72)-2)</f>
        <v>Stealth +6</v>
      </c>
      <c r="AK7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2" s="1" t="s">
        <v>173</v>
      </c>
      <c r="AN72" s="3">
        <f>IF(DruidPerception+AF72=0,10+(ROUNDDOWN((AC72-10)/2,0)),10+MAX(DruidPerception,AF72))</f>
        <v>5</v>
      </c>
      <c r="AT72" s="3" t="s">
        <v>14</v>
      </c>
      <c r="AU72" s="3" t="s">
        <v>148</v>
      </c>
      <c r="AV72" s="3" t="s">
        <v>369</v>
      </c>
      <c r="AW72" s="3" t="s">
        <v>173</v>
      </c>
      <c r="AZ72" s="3"/>
      <c r="BA72" s="3" t="s">
        <v>77</v>
      </c>
      <c r="BB72" s="3" t="s">
        <v>148</v>
      </c>
      <c r="BC72" s="3" t="s">
        <v>370</v>
      </c>
      <c r="BD72" s="3" t="s">
        <v>173</v>
      </c>
      <c r="BG72" s="3"/>
      <c r="BH72" s="3" t="s">
        <v>161</v>
      </c>
      <c r="BI72" s="3" t="s">
        <v>150</v>
      </c>
      <c r="BJ72" s="3" t="s">
        <v>470</v>
      </c>
      <c r="BK72" s="3" t="s">
        <v>173</v>
      </c>
      <c r="BL72" s="3" t="s">
        <v>161</v>
      </c>
      <c r="BM72" s="3">
        <v>4</v>
      </c>
      <c r="BN72" s="3" t="s">
        <v>219</v>
      </c>
      <c r="BO72" s="3" t="s">
        <v>164</v>
      </c>
      <c r="BP72" s="3" t="s">
        <v>150</v>
      </c>
      <c r="BQ72" s="3" t="s">
        <v>445</v>
      </c>
      <c r="BR72" s="3" t="s">
        <v>173</v>
      </c>
      <c r="BS72" s="3" t="s">
        <v>164</v>
      </c>
      <c r="BT72" s="3">
        <v>4</v>
      </c>
      <c r="BU72" s="3" t="s">
        <v>204</v>
      </c>
      <c r="BY72" s="3" t="s">
        <v>173</v>
      </c>
      <c r="CJ72" s="6">
        <v>0.25</v>
      </c>
      <c r="CK72" s="6">
        <f>IF(CJ72&lt;0.26,2,IF(CJ72&lt;0.51,4,IF(CJ72&lt;1.1,8,99)))</f>
        <v>2</v>
      </c>
      <c r="CL72" s="3">
        <f>IF(M72="Elemental",10,IF(CJ72&lt;2,2,CJ72*3))</f>
        <v>2</v>
      </c>
      <c r="CM72" s="3">
        <f>IF(W72&gt;0,8,0)</f>
        <v>0</v>
      </c>
      <c r="CN72" s="3">
        <f>IF(X72&gt;0,4,0)</f>
        <v>0</v>
      </c>
    </row>
    <row r="73" spans="1:92">
      <c r="A73" s="3" t="str">
        <f>IF(DruidLevel&lt;B73,"",CHAR(9)&amp;"&lt;monster&gt;"&amp;CHAR(13)&amp;CHAR(9)&amp;CHAR(9)&amp;"&lt;name&gt;"&amp;L73&amp;" (Wild Shape)&lt;/name&gt;"&amp;CHAR(13)&amp;CHAR(9)&amp;CHAR(9)&amp;"&lt;size&gt;"&amp;LEFT(P73,1)&amp;"&lt;/size&gt;"&amp;CHAR(13)&amp;CHAR(9)&amp;CHAR(9)&amp;"&lt;type&gt;"&amp;M73&amp;"&lt;/type&gt;"&amp;CHAR(13)&amp;CHAR(9)&amp;CHAR(9)&amp;"&lt;alignment&gt;"&amp;N73&amp;"&lt;/alignment&gt;"&amp;CHAR(13)&amp;CHAR(9)&amp;CHAR(9)&amp;"&lt;ac&gt;"&amp;Q73&amp;IF(ISBLANK(R73),""," ("&amp;R73&amp;")")&amp;"&lt;/ac&gt;"&amp;CHAR(13)&amp;CHAR(9)&amp;CHAR(9)&amp;"&lt;hp&gt;"&amp;S73&amp;"&lt;/hp&gt;"&amp;CHAR(13)&amp;CHAR(9)&amp;CHAR(9)&amp;"&lt;speed&gt;"&amp;E73&amp;"&lt;/speed&gt;"&amp;CHAR(13)&amp;CHAR(9)&amp;CHAR(9)&amp;"&lt;str&gt;"&amp;Y73&amp;"&lt;/str&gt;&lt;dex&gt;"&amp;Z73&amp;"&lt;/dex&gt;&lt;con&gt;"&amp;AA73&amp;"&lt;/con&gt;&lt;int&gt;"&amp;AB73&amp;"&lt;/int&gt;&lt;wis&gt;"&amp;AC73&amp;"&lt;/wis&gt;&lt;cha&gt;"&amp;AD73&amp;"&lt;/cha&gt;"&amp;CHAR(13)&amp;CHAR(9)&amp;CHAR(9)&amp;"&lt;save&gt;"&amp;AK73&amp;"&lt;/save&gt;"&amp;CHAR(13)&amp;CHAR(9)&amp;CHAR(9)&amp;"&lt;skill&gt;"&amp;AJ73&amp;"&lt;/skill&gt;"&amp;CHAR(13)&amp;CHAR(9)&amp;CHAR(9)&amp;"&lt;vulnerable&gt;"&amp;AO73&amp;"&lt;/vulnerable&gt;"&amp;CHAR(13)&amp;CHAR(9)&amp;CHAR(9)&amp;"&lt;resist&gt;"&amp;AP73&amp;"&lt;/resist&gt;"&amp;CHAR(13)&amp;CHAR(9)&amp;CHAR(9)&amp;"&lt;immune&gt;"&amp;AQ73&amp;"&lt;/immune&gt;"&amp;CHAR(13)&amp;CHAR(9)&amp;CHAR(9)&amp;"&lt;conditionImmune&gt;"&amp;AR73&amp;"&lt;/conditionImmune&gt;"&amp;CHAR(13)&amp;CHAR(9)&amp;CHAR(9)&amp;"&lt;senses&gt;"&amp;AM73&amp;"&lt;/senses&gt;"&amp;CHAR(13)&amp;CHAR(9)&amp;CHAR(9)&amp;"&lt;passive&gt;"&amp;AN73&amp;"&lt;/passive&gt;"&amp;CHAR(13)&amp;CHAR(9)&amp;CHAR(9)&amp;"&lt;languages&gt;"&amp;AS73&amp;"&lt;/languages&gt;"&amp;CHAR(13)&amp;CHAR(9)&amp;CHAR(9)&amp;"&lt;cr&gt;"&amp;O73&amp;"&lt;/cr&gt;"&amp;F73&amp;G73&amp;H73&amp;I73&amp;J73&amp;K73&amp;IF(C73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3" s="3">
        <f>IF(COTM=TRUE,MAX(CL73,CM73,CN73),MAX(CK73,CM73,CN73))</f>
        <v>99</v>
      </c>
      <c r="C73" s="11" t="str">
        <f>IF(COTM=FALSE,"",IF(DruidLevel&gt;5,"Y",""))</f>
        <v/>
      </c>
      <c r="D73" s="3" t="s">
        <v>173</v>
      </c>
      <c r="E73" s="3" t="str">
        <f>T73&amp;" ft."&amp;IF(U73+V73+W73+X73=0,"",", ")&amp;IF(ISBLANK(U73),"","burrow "&amp;U73&amp;" ft."&amp;IF(V73+W73+X73=0,"",", "))&amp;IF(ISBLANK(V73),"","climb "&amp;V73&amp;" ft."&amp;IF(W73+X73=0,"",", "))&amp;IF(ISBLANK(W73),"","fly "&amp;W73&amp;" ft."&amp;IF(X73=0,"",", "))&amp;IF(ISBLANK(X73),"","swim "&amp;X73&amp;" ft.")</f>
        <v>20 ft., swim 40 ft.</v>
      </c>
      <c r="F73" s="3" t="str">
        <f>IF(ISBLANK(AT73),"",CHAR(13)&amp;CHAR(9)&amp;CHAR(9)&amp;"&lt;"&amp;AU73&amp;"&gt;"&amp;CHAR(13)&amp;CHAR(9)&amp;CHAR(9)&amp;CHAR(9)&amp;"&lt;name&gt;"&amp;AT73&amp;"&lt;/name&gt;"&amp;CHAR(13)&amp;CHAR(9)&amp;CHAR(9)&amp;CHAR(9)&amp;"&lt;text&gt;"&amp;AV73&amp;"&lt;/text&gt;"&amp;IF(ISBLANK(AX73),"",CHAR(13)&amp;CHAR(9)&amp;CHAR(9)&amp;CHAR(9)&amp;"&lt;attack&gt;"&amp;AX73&amp;"|"&amp;AY73&amp;"|"&amp;AZ73&amp;"&lt;/attack&gt;")&amp;CHAR(13)&amp;CHAR(9)&amp;CHAR(9)&amp;"&lt;/"&amp;AU73&amp;"&gt;")</f>
        <v>_x000D_		&lt;trait&gt;_x000D_			&lt;name&gt;Hold Breath&lt;/name&gt;_x000D_			&lt;text&gt;The plesiosaurus can hold its breath for 1 hour.&lt;/text&gt;_x000D_		&lt;/trait&gt;</v>
      </c>
      <c r="G73" s="3" t="str">
        <f>IF(ISBLANK(BA73),"",CHAR(13)&amp;CHAR(9)&amp;CHAR(9)&amp;"&lt;"&amp;BB73&amp;"&gt;"&amp;CHAR(13)&amp;CHAR(9)&amp;CHAR(9)&amp;CHAR(9)&amp;"&lt;name&gt;"&amp;BA73&amp;"&lt;/name&gt;"&amp;CHAR(13)&amp;CHAR(9)&amp;CHAR(9)&amp;CHAR(9)&amp;"&lt;text&gt;"&amp;BC73&amp;"&lt;/text&gt;"&amp;IF(ISBLANK(BE73),"",CHAR(13)&amp;CHAR(9)&amp;CHAR(9)&amp;CHAR(9)&amp;"&lt;attack&gt;"&amp;BE73&amp;"|"&amp;BF73&amp;"|"&amp;BG73&amp;"&lt;/attack&gt;")&amp;CHAR(13)&amp;CHAR(9)&amp;CHAR(9)&amp;"&lt;/"&amp;BB73&amp;"&gt;")</f>
        <v>_x000D_		&lt;action&gt;_x000D_			&lt;name&gt;Bite&lt;/name&gt;_x000D_			&lt;text&gt;Melee Weapon Attack: +6 to hit, reach 10 ft., one target. Hit: 14 (3d6 + 4) piercing damage.&lt;/text&gt;_x000D_			&lt;attack&gt;Bite|6|3d6+4&lt;/attack&gt;_x000D_		&lt;/action&gt;</v>
      </c>
      <c r="H73" s="3" t="str">
        <f>IF(ISBLANK(BH73),"",CHAR(13)&amp;CHAR(9)&amp;CHAR(9)&amp;"&lt;"&amp;BI73&amp;"&gt;"&amp;CHAR(13)&amp;CHAR(9)&amp;CHAR(9)&amp;CHAR(9)&amp;"&lt;name&gt;"&amp;BH73&amp;"&lt;/name&gt;"&amp;CHAR(13)&amp;CHAR(9)&amp;CHAR(9)&amp;CHAR(9)&amp;"&lt;text&gt;"&amp;BJ73&amp;"&lt;/text&gt;"&amp;IF(ISBLANK(BL73),"",CHAR(13)&amp;CHAR(9)&amp;CHAR(9)&amp;CHAR(9)&amp;"&lt;attack&gt;"&amp;BL73&amp;"|"&amp;BM73&amp;"|"&amp;BN73&amp;"&lt;/attack&gt;")&amp;CHAR(13)&amp;CHAR(9)&amp;CHAR(9)&amp;"&lt;/"&amp;BI73&amp;"&gt;")</f>
        <v/>
      </c>
      <c r="I73" s="3" t="str">
        <f>IF(ISBLANK(BO73),"",CHAR(13)&amp;CHAR(9)&amp;CHAR(9)&amp;"&lt;"&amp;BP73&amp;"&gt;"&amp;CHAR(13)&amp;CHAR(9)&amp;CHAR(9)&amp;CHAR(9)&amp;"&lt;name&gt;"&amp;BO73&amp;"&lt;/name&gt;"&amp;CHAR(13)&amp;CHAR(9)&amp;CHAR(9)&amp;CHAR(9)&amp;"&lt;text&gt;"&amp;BQ73&amp;"&lt;/text&gt;"&amp;IF(ISBLANK(BS73),"",CHAR(13)&amp;CHAR(9)&amp;CHAR(9)&amp;CHAR(9)&amp;"&lt;attack&gt;"&amp;BS73&amp;"|"&amp;BT73&amp;"|"&amp;BU73&amp;"&lt;/attack&gt;")&amp;CHAR(13)&amp;CHAR(9)&amp;CHAR(9)&amp;"&lt;/"&amp;BP73&amp;"&gt;")</f>
        <v/>
      </c>
      <c r="J73" s="3" t="str">
        <f>IF(ISBLANK(BV73),"",CHAR(13)&amp;CHAR(9)&amp;CHAR(9)&amp;"&lt;"&amp;BW73&amp;"&gt;"&amp;CHAR(13)&amp;CHAR(9)&amp;CHAR(9)&amp;CHAR(9)&amp;"&lt;name&gt;"&amp;BV73&amp;"&lt;/name&gt;"&amp;CHAR(13)&amp;CHAR(9)&amp;CHAR(9)&amp;CHAR(9)&amp;"&lt;text&gt;"&amp;BX73&amp;"&lt;/text&gt;"&amp;IF(ISBLANK(BZ73),"",CHAR(13)&amp;CHAR(9)&amp;CHAR(9)&amp;CHAR(9)&amp;"&lt;attack&gt;"&amp;BZ73&amp;"|"&amp;CA73&amp;"|"&amp;CB73&amp;"&lt;/attack&gt;")&amp;CHAR(13)&amp;CHAR(9)&amp;CHAR(9)&amp;"&lt;/"&amp;BW73&amp;"&gt;")</f>
        <v/>
      </c>
      <c r="K73" s="3" t="str">
        <f>IF(ISBLANK(CC73),"",CHAR(13)&amp;CHAR(9)&amp;CHAR(9)&amp;"&lt;"&amp;CD73&amp;"&gt;"&amp;CHAR(13)&amp;CHAR(9)&amp;CHAR(9)&amp;CHAR(9)&amp;"&lt;name&gt;"&amp;CC73&amp;"&lt;/name&gt;"&amp;CHAR(13)&amp;CHAR(9)&amp;CHAR(9)&amp;CHAR(9)&amp;"&lt;text&gt;"&amp;CE73&amp;"&lt;/text&gt;"&amp;IF(ISBLANK(CG73),"",CHAR(13)&amp;CHAR(9)&amp;CHAR(9)&amp;CHAR(9)&amp;"&lt;attack&gt;"&amp;CG73&amp;"|"&amp;CH73&amp;"|"&amp;CI73&amp;"&lt;/attack&gt;")&amp;CHAR(13)&amp;CHAR(9)&amp;CHAR(9)&amp;"&lt;/"&amp;CD73&amp;"&gt;")</f>
        <v/>
      </c>
      <c r="L73" s="1" t="s">
        <v>83</v>
      </c>
      <c r="M73" s="1" t="s">
        <v>275</v>
      </c>
      <c r="N73" s="1">
        <f>DruidAlignment</f>
        <v>0</v>
      </c>
      <c r="O73" s="2">
        <v>2</v>
      </c>
      <c r="P73" s="1" t="s">
        <v>2</v>
      </c>
      <c r="Q73" s="1">
        <v>13</v>
      </c>
      <c r="R73" s="1" t="s">
        <v>405</v>
      </c>
      <c r="S73" s="1">
        <v>68</v>
      </c>
      <c r="T73" s="1">
        <v>20</v>
      </c>
      <c r="X73" s="1">
        <v>40</v>
      </c>
      <c r="Y73" s="1">
        <v>18</v>
      </c>
      <c r="Z73" s="1">
        <v>15</v>
      </c>
      <c r="AA73" s="1">
        <v>16</v>
      </c>
      <c r="AB73" s="10">
        <f>DruidInt</f>
        <v>0</v>
      </c>
      <c r="AC73" s="10">
        <f>DruidWis</f>
        <v>0</v>
      </c>
      <c r="AD73" s="10">
        <f>DruidCha</f>
        <v>0</v>
      </c>
      <c r="AE73" s="12"/>
      <c r="AF73" s="12"/>
      <c r="AG73" s="12">
        <v>4</v>
      </c>
      <c r="AH73" s="12" t="s">
        <v>173</v>
      </c>
      <c r="AI73" s="12" t="str">
        <f>IF(ISBLANK(DruidAcrobatics),"",", Acrobatics +"&amp;DruidAcrobatics)&amp;IF(ISBLANK(DruidAnimalHandling),"",", Animal Handling +"&amp;DruidAnimalHandling)&amp;IF(ISBLANK(DruidArcana),"",", Arcana +"&amp;DruidArcana)&amp;IF(DruidAthletics+AE73=0,"",", Athletics +"&amp;MAX(DruidAthletics,AE73))&amp;IF(ISBLANK(DruidDeception),"",",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+"&amp;DruidNature)&amp;IF(DruidPerception+AF73=0,"",", Perception +"&amp;MAX(DruidPerception,AF73))&amp;IF(ISBLANK(DruidPerformance),"",", Performance +"&amp;DruidPerformance)&amp;IF(ISBLANK(DruidPersuasion),"",", Persuasion +"&amp;DruidPersuasion)&amp;IF(ISBLANK(DruidReligion),"",", Religion +"&amp;DruidReligion)&amp;IF(ISBLANK(DruidSleightofHand),"",", Sleight of Hand +"&amp;DruidSleightofHand)&amp;IF(DruidStealth+AG73=0,"",", Stealth +"&amp;MAX(DruidStealth,AG73))&amp;IF(ISBLANK(DruidSurvival),"",", Survival +"&amp;DruidSurvival)</f>
        <v>, Stealth +4</v>
      </c>
      <c r="AJ73" s="1" t="str">
        <f>RIGHT(AI73,LEN(AI73)-2)</f>
        <v>Stealth +4</v>
      </c>
      <c r="AK7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3" s="1" t="s">
        <v>173</v>
      </c>
      <c r="AN73" s="3">
        <f>IF(DruidPerception+AF73=0,10+(ROUNDDOWN((AC73-10)/2,0)),10+MAX(DruidPerception,AF73))</f>
        <v>5</v>
      </c>
      <c r="AT73" s="3" t="s">
        <v>71</v>
      </c>
      <c r="AU73" s="3" t="s">
        <v>148</v>
      </c>
      <c r="AV73" s="3" t="s">
        <v>371</v>
      </c>
      <c r="AW73" s="3" t="s">
        <v>173</v>
      </c>
      <c r="AZ73" s="3"/>
      <c r="BA73" s="3" t="s">
        <v>161</v>
      </c>
      <c r="BB73" s="3" t="s">
        <v>150</v>
      </c>
      <c r="BC73" s="3" t="s">
        <v>372</v>
      </c>
      <c r="BD73" s="3" t="s">
        <v>173</v>
      </c>
      <c r="BE73" s="3" t="s">
        <v>161</v>
      </c>
      <c r="BF73" s="3">
        <v>6</v>
      </c>
      <c r="BG73" s="3" t="s">
        <v>373</v>
      </c>
      <c r="BK73" s="3" t="s">
        <v>173</v>
      </c>
      <c r="BN73" s="3"/>
      <c r="BR73" s="3" t="s">
        <v>173</v>
      </c>
      <c r="BY73" s="3" t="s">
        <v>173</v>
      </c>
      <c r="CJ73" s="6">
        <v>2</v>
      </c>
      <c r="CK73" s="6">
        <f>IF(CJ73&lt;0.26,2,IF(CJ73&lt;0.51,4,IF(CJ73&lt;1.1,8,99)))</f>
        <v>99</v>
      </c>
      <c r="CL73" s="3">
        <f>IF(M73="Elemental",10,IF(CJ73&lt;2,2,CJ73*3))</f>
        <v>6</v>
      </c>
      <c r="CM73" s="3">
        <f>IF(W73&gt;0,8,0)</f>
        <v>0</v>
      </c>
      <c r="CN73" s="3">
        <f>IF(X73&gt;0,4,0)</f>
        <v>4</v>
      </c>
    </row>
    <row r="74" spans="1:92">
      <c r="A74" s="3" t="str">
        <f>IF(DruidLevel&lt;B74,"",CHAR(9)&amp;"&lt;monster&gt;"&amp;CHAR(13)&amp;CHAR(9)&amp;CHAR(9)&amp;"&lt;name&gt;"&amp;L74&amp;" (Wild Shape)&lt;/name&gt;"&amp;CHAR(13)&amp;CHAR(9)&amp;CHAR(9)&amp;"&lt;size&gt;"&amp;LEFT(P74,1)&amp;"&lt;/size&gt;"&amp;CHAR(13)&amp;CHAR(9)&amp;CHAR(9)&amp;"&lt;type&gt;"&amp;M74&amp;"&lt;/type&gt;"&amp;CHAR(13)&amp;CHAR(9)&amp;CHAR(9)&amp;"&lt;alignment&gt;"&amp;N74&amp;"&lt;/alignment&gt;"&amp;CHAR(13)&amp;CHAR(9)&amp;CHAR(9)&amp;"&lt;ac&gt;"&amp;Q74&amp;IF(ISBLANK(R74),""," ("&amp;R74&amp;")")&amp;"&lt;/ac&gt;"&amp;CHAR(13)&amp;CHAR(9)&amp;CHAR(9)&amp;"&lt;hp&gt;"&amp;S74&amp;"&lt;/hp&gt;"&amp;CHAR(13)&amp;CHAR(9)&amp;CHAR(9)&amp;"&lt;speed&gt;"&amp;E74&amp;"&lt;/speed&gt;"&amp;CHAR(13)&amp;CHAR(9)&amp;CHAR(9)&amp;"&lt;str&gt;"&amp;Y74&amp;"&lt;/str&gt;&lt;dex&gt;"&amp;Z74&amp;"&lt;/dex&gt;&lt;con&gt;"&amp;AA74&amp;"&lt;/con&gt;&lt;int&gt;"&amp;AB74&amp;"&lt;/int&gt;&lt;wis&gt;"&amp;AC74&amp;"&lt;/wis&gt;&lt;cha&gt;"&amp;AD74&amp;"&lt;/cha&gt;"&amp;CHAR(13)&amp;CHAR(9)&amp;CHAR(9)&amp;"&lt;save&gt;"&amp;AK74&amp;"&lt;/save&gt;"&amp;CHAR(13)&amp;CHAR(9)&amp;CHAR(9)&amp;"&lt;skill&gt;"&amp;AJ74&amp;"&lt;/skill&gt;"&amp;CHAR(13)&amp;CHAR(9)&amp;CHAR(9)&amp;"&lt;vulnerable&gt;"&amp;AO74&amp;"&lt;/vulnerable&gt;"&amp;CHAR(13)&amp;CHAR(9)&amp;CHAR(9)&amp;"&lt;resist&gt;"&amp;AP74&amp;"&lt;/resist&gt;"&amp;CHAR(13)&amp;CHAR(9)&amp;CHAR(9)&amp;"&lt;immune&gt;"&amp;AQ74&amp;"&lt;/immune&gt;"&amp;CHAR(13)&amp;CHAR(9)&amp;CHAR(9)&amp;"&lt;conditionImmune&gt;"&amp;AR74&amp;"&lt;/conditionImmune&gt;"&amp;CHAR(13)&amp;CHAR(9)&amp;CHAR(9)&amp;"&lt;senses&gt;"&amp;AM74&amp;"&lt;/senses&gt;"&amp;CHAR(13)&amp;CHAR(9)&amp;CHAR(9)&amp;"&lt;passive&gt;"&amp;AN74&amp;"&lt;/passive&gt;"&amp;CHAR(13)&amp;CHAR(9)&amp;CHAR(9)&amp;"&lt;languages&gt;"&amp;AS74&amp;"&lt;/languages&gt;"&amp;CHAR(13)&amp;CHAR(9)&amp;CHAR(9)&amp;"&lt;cr&gt;"&amp;O74&amp;"&lt;/cr&gt;"&amp;F74&amp;G74&amp;H74&amp;I74&amp;J74&amp;K74&amp;IF(C74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4" s="3">
        <f>IF(COTM=TRUE,MAX(CL74,CM74,CN74),MAX(CK74,CM74,CN74))</f>
        <v>4</v>
      </c>
      <c r="C74" s="11" t="str">
        <f>IF(COTM=FALSE,"",IF(DruidLevel&gt;5,"Y",""))</f>
        <v/>
      </c>
      <c r="D74" s="3" t="s">
        <v>173</v>
      </c>
      <c r="E74" s="3" t="str">
        <f>T74&amp;" ft."&amp;IF(U74+V74+W74+X74=0,"",", ")&amp;IF(ISBLANK(U74),"","burrow "&amp;U74&amp;" ft."&amp;IF(V74+W74+X74=0,"",", "))&amp;IF(ISBLANK(V74),"","climb "&amp;V74&amp;" ft."&amp;IF(W74+X74=0,"",", "))&amp;IF(ISBLANK(W74),"","fly "&amp;W74&amp;" ft."&amp;IF(X74=0,"",", "))&amp;IF(ISBLANK(X74),"","swim "&amp;X74&amp;" ft.")</f>
        <v>30 ft., swim 30 ft.</v>
      </c>
      <c r="F74" s="3" t="str">
        <f>IF(ISBLANK(AT74),"",CHAR(13)&amp;CHAR(9)&amp;CHAR(9)&amp;"&lt;"&amp;AU74&amp;"&gt;"&amp;CHAR(13)&amp;CHAR(9)&amp;CHAR(9)&amp;CHAR(9)&amp;"&lt;name&gt;"&amp;AT74&amp;"&lt;/name&gt;"&amp;CHAR(13)&amp;CHAR(9)&amp;CHAR(9)&amp;CHAR(9)&amp;"&lt;text&gt;"&amp;AV74&amp;"&lt;/text&gt;"&amp;IF(ISBLANK(AX74),"",CHAR(13)&amp;CHAR(9)&amp;CHAR(9)&amp;CHAR(9)&amp;"&lt;attack&gt;"&amp;AX74&amp;"|"&amp;AY74&amp;"|"&amp;AZ74&amp;"&lt;/attack&gt;")&amp;CHAR(13)&amp;CHAR(9)&amp;CHAR(9)&amp;"&lt;/"&amp;AU74&amp;"&gt;")</f>
        <v>_x000D_		&lt;action&gt;_x000D_			&lt;name&gt;Bite&lt;/name&gt;_x000D_			&lt;text&gt;Melee Weapon Attack: +5 to hit, reach 5 ft., one target. Hit: 1 piercing damage, and the target must make a DC 10 Constitution saving throw, taking 5 (2d4) poison damage on a failed save, or half as much damage on a successful one.&lt;/text&gt;_x000D_			&lt;attack&gt;Bite|5|1&lt;/attack&gt;_x000D_		&lt;/action&gt;</v>
      </c>
      <c r="G74" s="3" t="str">
        <f>IF(ISBLANK(BA74),"",CHAR(13)&amp;CHAR(9)&amp;CHAR(9)&amp;"&lt;"&amp;BB74&amp;"&gt;"&amp;CHAR(13)&amp;CHAR(9)&amp;CHAR(9)&amp;CHAR(9)&amp;"&lt;name&gt;"&amp;BA74&amp;"&lt;/name&gt;"&amp;CHAR(13)&amp;CHAR(9)&amp;CHAR(9)&amp;CHAR(9)&amp;"&lt;text&gt;"&amp;BC74&amp;"&lt;/text&gt;"&amp;IF(ISBLANK(BE74),"",CHAR(13)&amp;CHAR(9)&amp;CHAR(9)&amp;CHAR(9)&amp;"&lt;attack&gt;"&amp;BE74&amp;"|"&amp;BF74&amp;"|"&amp;BG74&amp;"&lt;/attack&gt;")&amp;CHAR(13)&amp;CHAR(9)&amp;CHAR(9)&amp;"&lt;/"&amp;BB74&amp;"&gt;")</f>
        <v/>
      </c>
      <c r="H74" s="3" t="str">
        <f>IF(ISBLANK(BH74),"",CHAR(13)&amp;CHAR(9)&amp;CHAR(9)&amp;"&lt;"&amp;BI74&amp;"&gt;"&amp;CHAR(13)&amp;CHAR(9)&amp;CHAR(9)&amp;CHAR(9)&amp;"&lt;name&gt;"&amp;BH74&amp;"&lt;/name&gt;"&amp;CHAR(13)&amp;CHAR(9)&amp;CHAR(9)&amp;CHAR(9)&amp;"&lt;text&gt;"&amp;BJ74&amp;"&lt;/text&gt;"&amp;IF(ISBLANK(BL74),"",CHAR(13)&amp;CHAR(9)&amp;CHAR(9)&amp;CHAR(9)&amp;"&lt;attack&gt;"&amp;BL74&amp;"|"&amp;BM74&amp;"|"&amp;BN74&amp;"&lt;/attack&gt;")&amp;CHAR(13)&amp;CHAR(9)&amp;CHAR(9)&amp;"&lt;/"&amp;BI74&amp;"&gt;")</f>
        <v/>
      </c>
      <c r="I74" s="3" t="str">
        <f>IF(ISBLANK(BO74),"",CHAR(13)&amp;CHAR(9)&amp;CHAR(9)&amp;"&lt;"&amp;BP74&amp;"&gt;"&amp;CHAR(13)&amp;CHAR(9)&amp;CHAR(9)&amp;CHAR(9)&amp;"&lt;name&gt;"&amp;BO74&amp;"&lt;/name&gt;"&amp;CHAR(13)&amp;CHAR(9)&amp;CHAR(9)&amp;CHAR(9)&amp;"&lt;text&gt;"&amp;BQ74&amp;"&lt;/text&gt;"&amp;IF(ISBLANK(BS74),"",CHAR(13)&amp;CHAR(9)&amp;CHAR(9)&amp;CHAR(9)&amp;"&lt;attack&gt;"&amp;BS74&amp;"|"&amp;BT74&amp;"|"&amp;BU74&amp;"&lt;/attack&gt;")&amp;CHAR(13)&amp;CHAR(9)&amp;CHAR(9)&amp;"&lt;/"&amp;BP74&amp;"&gt;")</f>
        <v/>
      </c>
      <c r="J74" s="3" t="str">
        <f>IF(ISBLANK(BV74),"",CHAR(13)&amp;CHAR(9)&amp;CHAR(9)&amp;"&lt;"&amp;BW74&amp;"&gt;"&amp;CHAR(13)&amp;CHAR(9)&amp;CHAR(9)&amp;CHAR(9)&amp;"&lt;name&gt;"&amp;BV74&amp;"&lt;/name&gt;"&amp;CHAR(13)&amp;CHAR(9)&amp;CHAR(9)&amp;CHAR(9)&amp;"&lt;text&gt;"&amp;BX74&amp;"&lt;/text&gt;"&amp;IF(ISBLANK(BZ74),"",CHAR(13)&amp;CHAR(9)&amp;CHAR(9)&amp;CHAR(9)&amp;"&lt;attack&gt;"&amp;BZ74&amp;"|"&amp;CA74&amp;"|"&amp;CB74&amp;"&lt;/attack&gt;")&amp;CHAR(13)&amp;CHAR(9)&amp;CHAR(9)&amp;"&lt;/"&amp;BW74&amp;"&gt;")</f>
        <v/>
      </c>
      <c r="K74" s="3" t="str">
        <f>IF(ISBLANK(CC74),"",CHAR(13)&amp;CHAR(9)&amp;CHAR(9)&amp;"&lt;"&amp;CD74&amp;"&gt;"&amp;CHAR(13)&amp;CHAR(9)&amp;CHAR(9)&amp;CHAR(9)&amp;"&lt;name&gt;"&amp;CC74&amp;"&lt;/name&gt;"&amp;CHAR(13)&amp;CHAR(9)&amp;CHAR(9)&amp;CHAR(9)&amp;"&lt;text&gt;"&amp;CE74&amp;"&lt;/text&gt;"&amp;IF(ISBLANK(CG74),"",CHAR(13)&amp;CHAR(9)&amp;CHAR(9)&amp;CHAR(9)&amp;"&lt;attack&gt;"&amp;CG74&amp;"|"&amp;CH74&amp;"|"&amp;CI74&amp;"&lt;/attack&gt;")&amp;CHAR(13)&amp;CHAR(9)&amp;CHAR(9)&amp;"&lt;/"&amp;CD74&amp;"&gt;")</f>
        <v/>
      </c>
      <c r="L74" s="1" t="s">
        <v>66</v>
      </c>
      <c r="M74" s="1" t="s">
        <v>275</v>
      </c>
      <c r="N74" s="1">
        <f>DruidAlignment</f>
        <v>0</v>
      </c>
      <c r="O74" s="5" t="s">
        <v>207</v>
      </c>
      <c r="P74" s="1" t="s">
        <v>0</v>
      </c>
      <c r="Q74" s="1">
        <v>13</v>
      </c>
      <c r="R74" s="1"/>
      <c r="S74" s="1">
        <v>2</v>
      </c>
      <c r="T74" s="1">
        <v>30</v>
      </c>
      <c r="X74" s="1">
        <v>30</v>
      </c>
      <c r="Y74" s="1">
        <v>2</v>
      </c>
      <c r="Z74" s="1">
        <v>16</v>
      </c>
      <c r="AA74" s="1">
        <v>11</v>
      </c>
      <c r="AB74" s="10">
        <f>DruidInt</f>
        <v>0</v>
      </c>
      <c r="AC74" s="10">
        <f>DruidWis</f>
        <v>0</v>
      </c>
      <c r="AD74" s="10">
        <f>DruidCha</f>
        <v>0</v>
      </c>
      <c r="AE74" s="12"/>
      <c r="AF74" s="12">
        <v>3</v>
      </c>
      <c r="AG74" s="12"/>
      <c r="AH74" s="12" t="s">
        <v>173</v>
      </c>
      <c r="AI74" s="12" t="str">
        <f>IF(ISBLANK(DruidAcrobatics),"",", Acrobatics +"&amp;DruidAcrobatics)&amp;IF(ISBLANK(DruidAnimalHandling),"",", Animal Handling +"&amp;DruidAnimalHandling)&amp;IF(ISBLANK(DruidArcana),"",", Arcana +"&amp;DruidArcana)&amp;IF(DruidAthletics+AE74=0,"",", Athletics +"&amp;MAX(DruidAthletics,AE74))&amp;IF(ISBLANK(DruidDeception),"",",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+"&amp;DruidNature)&amp;IF(DruidPerception+AF74=0,"",", Perception +"&amp;MAX(DruidPerception,AF74))&amp;IF(ISBLANK(DruidPerformance),"",", Performance +"&amp;DruidPerformance)&amp;IF(ISBLANK(DruidPersuasion),"",", Persuasion +"&amp;DruidPersuasion)&amp;IF(ISBLANK(DruidReligion),"",", Religion +"&amp;DruidReligion)&amp;IF(ISBLANK(DruidSleightofHand),"",", Sleight of Hand +"&amp;DruidSleightofHand)&amp;IF(DruidStealth+AG74=0,"",", Stealth +"&amp;MAX(DruidStealth,AG74))&amp;IF(ISBLANK(DruidSurvival),"",", Survival +"&amp;DruidSurvival)</f>
        <v>, Perception +3</v>
      </c>
      <c r="AJ74" s="1" t="str">
        <f>RIGHT(AI74,LEN(AI74)-2)</f>
        <v>Perception +3</v>
      </c>
      <c r="AK7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4" s="1" t="s">
        <v>173</v>
      </c>
      <c r="AM74" s="1" t="s">
        <v>180</v>
      </c>
      <c r="AN74" s="3">
        <f>IF(DruidPerception+AF74=0,10+(ROUNDDOWN((AC74-10)/2,0)),10+MAX(DruidPerception,AF74))</f>
        <v>13</v>
      </c>
      <c r="AO74" s="1"/>
      <c r="AP74" s="1"/>
      <c r="AQ74" s="1"/>
      <c r="AR74" s="1"/>
      <c r="AS74" s="1"/>
      <c r="AT74" s="3" t="s">
        <v>161</v>
      </c>
      <c r="AU74" s="3" t="s">
        <v>150</v>
      </c>
      <c r="AV74" s="3" t="s">
        <v>374</v>
      </c>
      <c r="AW74" s="3" t="s">
        <v>173</v>
      </c>
      <c r="AX74" s="3" t="s">
        <v>161</v>
      </c>
      <c r="AY74" s="3">
        <v>5</v>
      </c>
      <c r="AZ74" s="9">
        <v>1</v>
      </c>
      <c r="BD74" s="3" t="s">
        <v>173</v>
      </c>
      <c r="BG74" s="9"/>
      <c r="BK74" s="3" t="s">
        <v>173</v>
      </c>
      <c r="BN74" s="9"/>
      <c r="BR74" s="3" t="s">
        <v>173</v>
      </c>
      <c r="BY74" s="3" t="s">
        <v>173</v>
      </c>
      <c r="CJ74" s="6">
        <v>0.125</v>
      </c>
      <c r="CK74" s="6">
        <f>IF(CJ74&lt;0.26,2,IF(CJ74&lt;0.51,4,IF(CJ74&lt;1.1,8,99)))</f>
        <v>2</v>
      </c>
      <c r="CL74" s="3">
        <f>IF(M74="Elemental",10,IF(CJ74&lt;2,2,CJ74*3))</f>
        <v>2</v>
      </c>
      <c r="CM74" s="3">
        <f>IF(W74&gt;0,8,0)</f>
        <v>0</v>
      </c>
      <c r="CN74" s="3">
        <f>IF(X74&gt;0,4,0)</f>
        <v>4</v>
      </c>
    </row>
    <row r="75" spans="1:92">
      <c r="A75" s="3" t="str">
        <f>IF(DruidLevel&lt;B75,"",CHAR(9)&amp;"&lt;monster&gt;"&amp;CHAR(13)&amp;CHAR(9)&amp;CHAR(9)&amp;"&lt;name&gt;"&amp;L75&amp;" (Wild Shape)&lt;/name&gt;"&amp;CHAR(13)&amp;CHAR(9)&amp;CHAR(9)&amp;"&lt;size&gt;"&amp;LEFT(P75,1)&amp;"&lt;/size&gt;"&amp;CHAR(13)&amp;CHAR(9)&amp;CHAR(9)&amp;"&lt;type&gt;"&amp;M75&amp;"&lt;/type&gt;"&amp;CHAR(13)&amp;CHAR(9)&amp;CHAR(9)&amp;"&lt;alignment&gt;"&amp;N75&amp;"&lt;/alignment&gt;"&amp;CHAR(13)&amp;CHAR(9)&amp;CHAR(9)&amp;"&lt;ac&gt;"&amp;Q75&amp;IF(ISBLANK(R75),""," ("&amp;R75&amp;")")&amp;"&lt;/ac&gt;"&amp;CHAR(13)&amp;CHAR(9)&amp;CHAR(9)&amp;"&lt;hp&gt;"&amp;S75&amp;"&lt;/hp&gt;"&amp;CHAR(13)&amp;CHAR(9)&amp;CHAR(9)&amp;"&lt;speed&gt;"&amp;E75&amp;"&lt;/speed&gt;"&amp;CHAR(13)&amp;CHAR(9)&amp;CHAR(9)&amp;"&lt;str&gt;"&amp;Y75&amp;"&lt;/str&gt;&lt;dex&gt;"&amp;Z75&amp;"&lt;/dex&gt;&lt;con&gt;"&amp;AA75&amp;"&lt;/con&gt;&lt;int&gt;"&amp;AB75&amp;"&lt;/int&gt;&lt;wis&gt;"&amp;AC75&amp;"&lt;/wis&gt;&lt;cha&gt;"&amp;AD75&amp;"&lt;/cha&gt;"&amp;CHAR(13)&amp;CHAR(9)&amp;CHAR(9)&amp;"&lt;save&gt;"&amp;AK75&amp;"&lt;/save&gt;"&amp;CHAR(13)&amp;CHAR(9)&amp;CHAR(9)&amp;"&lt;skill&gt;"&amp;AJ75&amp;"&lt;/skill&gt;"&amp;CHAR(13)&amp;CHAR(9)&amp;CHAR(9)&amp;"&lt;vulnerable&gt;"&amp;AO75&amp;"&lt;/vulnerable&gt;"&amp;CHAR(13)&amp;CHAR(9)&amp;CHAR(9)&amp;"&lt;resist&gt;"&amp;AP75&amp;"&lt;/resist&gt;"&amp;CHAR(13)&amp;CHAR(9)&amp;CHAR(9)&amp;"&lt;immune&gt;"&amp;AQ75&amp;"&lt;/immune&gt;"&amp;CHAR(13)&amp;CHAR(9)&amp;CHAR(9)&amp;"&lt;conditionImmune&gt;"&amp;AR75&amp;"&lt;/conditionImmune&gt;"&amp;CHAR(13)&amp;CHAR(9)&amp;CHAR(9)&amp;"&lt;senses&gt;"&amp;AM75&amp;"&lt;/senses&gt;"&amp;CHAR(13)&amp;CHAR(9)&amp;CHAR(9)&amp;"&lt;passive&gt;"&amp;AN75&amp;"&lt;/passive&gt;"&amp;CHAR(13)&amp;CHAR(9)&amp;CHAR(9)&amp;"&lt;languages&gt;"&amp;AS75&amp;"&lt;/languages&gt;"&amp;CHAR(13)&amp;CHAR(9)&amp;CHAR(9)&amp;"&lt;cr&gt;"&amp;O75&amp;"&lt;/cr&gt;"&amp;F75&amp;G75&amp;H75&amp;I75&amp;J75&amp;K75&amp;IF(C75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5" s="3">
        <f>IF(COTM=TRUE,MAX(CL75,CM75,CN75),MAX(CK75,CM75,CN75))</f>
        <v>99</v>
      </c>
      <c r="C75" s="11" t="str">
        <f>IF(COTM=FALSE,"",IF(DruidLevel&gt;5,"Y",""))</f>
        <v/>
      </c>
      <c r="D75" s="3" t="s">
        <v>173</v>
      </c>
      <c r="E75" s="3" t="str">
        <f>T75&amp;" ft."&amp;IF(U75+V75+W75+X75=0,"",", ")&amp;IF(ISBLANK(U75),"","burrow "&amp;U75&amp;" ft."&amp;IF(V75+W75+X75=0,"",", "))&amp;IF(ISBLANK(V75),"","climb "&amp;V75&amp;" ft."&amp;IF(W75+X75=0,"",", "))&amp;IF(ISBLANK(W75),"","fly "&amp;W75&amp;" ft."&amp;IF(X75=0,"",", "))&amp;IF(ISBLANK(X75),"","swim "&amp;X75&amp;" ft.")</f>
        <v>40 ft., swim 30 ft.</v>
      </c>
      <c r="F75" s="3" t="str">
        <f>IF(ISBLANK(AT75),"",CHAR(13)&amp;CHAR(9)&amp;CHAR(9)&amp;"&lt;"&amp;AU75&amp;"&gt;"&amp;CHAR(13)&amp;CHAR(9)&amp;CHAR(9)&amp;CHAR(9)&amp;"&lt;name&gt;"&amp;AT75&amp;"&lt;/name&gt;"&amp;CHAR(13)&amp;CHAR(9)&amp;CHAR(9)&amp;CHAR(9)&amp;"&lt;text&gt;"&amp;AV75&amp;"&lt;/text&gt;"&amp;IF(ISBLANK(AX75),"",CHAR(13)&amp;CHAR(9)&amp;CHAR(9)&amp;CHAR(9)&amp;"&lt;attack&gt;"&amp;AX75&amp;"|"&amp;AY75&amp;"|"&amp;AZ75&amp;"&lt;/attack&gt;")&amp;CHAR(13)&amp;CHAR(9)&amp;CHAR(9)&amp;"&lt;/"&amp;AU75&amp;"&gt;")</f>
        <v>_x000D_		&lt;trait&gt;_x000D_			&lt;name&gt;Keen Smell&lt;/name&gt;_x000D_			&lt;text&gt;The bear has advantage on Wisdom (Perception) checks that rely on smell.&lt;/text&gt;_x000D_		&lt;/trait&gt;</v>
      </c>
      <c r="G75" s="3" t="str">
        <f>IF(ISBLANK(BA75),"",CHAR(13)&amp;CHAR(9)&amp;CHAR(9)&amp;"&lt;"&amp;BB75&amp;"&gt;"&amp;CHAR(13)&amp;CHAR(9)&amp;CHAR(9)&amp;CHAR(9)&amp;"&lt;name&gt;"&amp;BA75&amp;"&lt;/name&gt;"&amp;CHAR(13)&amp;CHAR(9)&amp;CHAR(9)&amp;CHAR(9)&amp;"&lt;text&gt;"&amp;BC75&amp;"&lt;/text&gt;"&amp;IF(ISBLANK(BE75),"",CHAR(13)&amp;CHAR(9)&amp;CHAR(9)&amp;CHAR(9)&amp;"&lt;attack&gt;"&amp;BE75&amp;"|"&amp;BF75&amp;"|"&amp;BG75&amp;"&lt;/attack&gt;")&amp;CHAR(13)&amp;CHAR(9)&amp;CHAR(9)&amp;"&lt;/"&amp;BB75&amp;"&gt;")</f>
        <v>_x000D_		&lt;action&gt;_x000D_			&lt;name&gt;Multiattack&lt;/name&gt;_x000D_			&lt;text&gt;The bear makes two attacks: one with its bite and one with its claws.&lt;/text&gt;_x000D_		&lt;/action&gt;</v>
      </c>
      <c r="H75" s="3" t="str">
        <f>IF(ISBLANK(BH75),"",CHAR(13)&amp;CHAR(9)&amp;CHAR(9)&amp;"&lt;"&amp;BI75&amp;"&gt;"&amp;CHAR(13)&amp;CHAR(9)&amp;CHAR(9)&amp;CHAR(9)&amp;"&lt;name&gt;"&amp;BH75&amp;"&lt;/name&gt;"&amp;CHAR(13)&amp;CHAR(9)&amp;CHAR(9)&amp;CHAR(9)&amp;"&lt;text&gt;"&amp;BJ75&amp;"&lt;/text&gt;"&amp;IF(ISBLANK(BL75),"",CHAR(13)&amp;CHAR(9)&amp;CHAR(9)&amp;CHAR(9)&amp;"&lt;attack&gt;"&amp;BL75&amp;"|"&amp;BM75&amp;"|"&amp;BN75&amp;"&lt;/attack&gt;")&amp;CHAR(13)&amp;CHAR(9)&amp;CHAR(9)&amp;"&lt;/"&amp;BI75&amp;"&gt;")</f>
        <v>_x000D_		&lt;action&gt;_x000D_			&lt;name&gt;Bite&lt;/name&gt;_x000D_			&lt;text&gt;Melee Weapon Attack: +7 to hit, reach 5 ft., one target. Hit: 9 (1d8 + 5) piercing damage.&lt;/text&gt;_x000D_			&lt;attack&gt;Bite|7|1d8+5&lt;/attack&gt;_x000D_		&lt;/action&gt;</v>
      </c>
      <c r="I75" s="3" t="str">
        <f>IF(ISBLANK(BO75),"",CHAR(13)&amp;CHAR(9)&amp;CHAR(9)&amp;"&lt;"&amp;BP75&amp;"&gt;"&amp;CHAR(13)&amp;CHAR(9)&amp;CHAR(9)&amp;CHAR(9)&amp;"&lt;name&gt;"&amp;BO75&amp;"&lt;/name&gt;"&amp;CHAR(13)&amp;CHAR(9)&amp;CHAR(9)&amp;CHAR(9)&amp;"&lt;text&gt;"&amp;BQ75&amp;"&lt;/text&gt;"&amp;IF(ISBLANK(BS75),"",CHAR(13)&amp;CHAR(9)&amp;CHAR(9)&amp;CHAR(9)&amp;"&lt;attack&gt;"&amp;BS75&amp;"|"&amp;BT75&amp;"|"&amp;BU75&amp;"&lt;/attack&gt;")&amp;CHAR(13)&amp;CHAR(9)&amp;CHAR(9)&amp;"&lt;/"&amp;BP75&amp;"&gt;")</f>
        <v>_x000D_		&lt;action&gt;_x000D_			&lt;name&gt;Claws&lt;/name&gt;_x000D_			&lt;text&gt;Melee Weapon Attack: +7 to hit, reach 5 ft., one target. Hit: 12 (2d6 + 5) slashing damage.&lt;/text&gt;_x000D_			&lt;attack&gt;Claws|7|2d6+5&lt;/attack&gt;_x000D_		&lt;/action&gt;</v>
      </c>
      <c r="J75" s="3" t="str">
        <f>IF(ISBLANK(BV75),"",CHAR(13)&amp;CHAR(9)&amp;CHAR(9)&amp;"&lt;"&amp;BW75&amp;"&gt;"&amp;CHAR(13)&amp;CHAR(9)&amp;CHAR(9)&amp;CHAR(9)&amp;"&lt;name&gt;"&amp;BV75&amp;"&lt;/name&gt;"&amp;CHAR(13)&amp;CHAR(9)&amp;CHAR(9)&amp;CHAR(9)&amp;"&lt;text&gt;"&amp;BX75&amp;"&lt;/text&gt;"&amp;IF(ISBLANK(BZ75),"",CHAR(13)&amp;CHAR(9)&amp;CHAR(9)&amp;CHAR(9)&amp;"&lt;attack&gt;"&amp;BZ75&amp;"|"&amp;CA75&amp;"|"&amp;CB75&amp;"&lt;/attack&gt;")&amp;CHAR(13)&amp;CHAR(9)&amp;CHAR(9)&amp;"&lt;/"&amp;BW75&amp;"&gt;")</f>
        <v/>
      </c>
      <c r="K75" s="3" t="str">
        <f>IF(ISBLANK(CC75),"",CHAR(13)&amp;CHAR(9)&amp;CHAR(9)&amp;"&lt;"&amp;CD75&amp;"&gt;"&amp;CHAR(13)&amp;CHAR(9)&amp;CHAR(9)&amp;CHAR(9)&amp;"&lt;name&gt;"&amp;CC75&amp;"&lt;/name&gt;"&amp;CHAR(13)&amp;CHAR(9)&amp;CHAR(9)&amp;CHAR(9)&amp;"&lt;text&gt;"&amp;CE75&amp;"&lt;/text&gt;"&amp;IF(ISBLANK(CG75),"",CHAR(13)&amp;CHAR(9)&amp;CHAR(9)&amp;CHAR(9)&amp;"&lt;attack&gt;"&amp;CG75&amp;"|"&amp;CH75&amp;"|"&amp;CI75&amp;"&lt;/attack&gt;")&amp;CHAR(13)&amp;CHAR(9)&amp;CHAR(9)&amp;"&lt;/"&amp;CD75&amp;"&gt;")</f>
        <v/>
      </c>
      <c r="L75" s="1" t="s">
        <v>84</v>
      </c>
      <c r="M75" s="1" t="s">
        <v>275</v>
      </c>
      <c r="N75" s="1">
        <f>DruidAlignment</f>
        <v>0</v>
      </c>
      <c r="O75" s="2">
        <v>2</v>
      </c>
      <c r="P75" s="1" t="s">
        <v>2</v>
      </c>
      <c r="Q75" s="1">
        <v>12</v>
      </c>
      <c r="R75" s="1" t="s">
        <v>405</v>
      </c>
      <c r="S75" s="1">
        <v>42</v>
      </c>
      <c r="T75" s="1">
        <v>40</v>
      </c>
      <c r="X75" s="1">
        <v>30</v>
      </c>
      <c r="Y75" s="1">
        <v>20</v>
      </c>
      <c r="Z75" s="1">
        <v>10</v>
      </c>
      <c r="AA75" s="1">
        <v>16</v>
      </c>
      <c r="AB75" s="10">
        <f>DruidInt</f>
        <v>0</v>
      </c>
      <c r="AC75" s="10">
        <f>DruidWis</f>
        <v>0</v>
      </c>
      <c r="AD75" s="10">
        <f>DruidCha</f>
        <v>0</v>
      </c>
      <c r="AE75" s="12"/>
      <c r="AF75" s="12">
        <v>3</v>
      </c>
      <c r="AG75" s="12"/>
      <c r="AH75" s="12" t="s">
        <v>173</v>
      </c>
      <c r="AI75" s="12" t="str">
        <f>IF(ISBLANK(DruidAcrobatics),"",", Acrobatics +"&amp;DruidAcrobatics)&amp;IF(ISBLANK(DruidAnimalHandling),"",", Animal Handling +"&amp;DruidAnimalHandling)&amp;IF(ISBLANK(DruidArcana),"",", Arcana +"&amp;DruidArcana)&amp;IF(DruidAthletics+AE75=0,"",", Athletics +"&amp;MAX(DruidAthletics,AE75))&amp;IF(ISBLANK(DruidDeception),"",",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+"&amp;DruidNature)&amp;IF(DruidPerception+AF75=0,"",", Perception +"&amp;MAX(DruidPerception,AF75))&amp;IF(ISBLANK(DruidPerformance),"",", Performance +"&amp;DruidPerformance)&amp;IF(ISBLANK(DruidPersuasion),"",", Persuasion +"&amp;DruidPersuasion)&amp;IF(ISBLANK(DruidReligion),"",", Religion +"&amp;DruidReligion)&amp;IF(ISBLANK(DruidSleightofHand),"",", Sleight of Hand +"&amp;DruidSleightofHand)&amp;IF(DruidStealth+AG75=0,"",", Stealth +"&amp;MAX(DruidStealth,AG75))&amp;IF(ISBLANK(DruidSurvival),"",", Survival +"&amp;DruidSurvival)</f>
        <v>, Perception +3</v>
      </c>
      <c r="AJ75" s="1" t="str">
        <f>RIGHT(AI75,LEN(AI75)-2)</f>
        <v>Perception +3</v>
      </c>
      <c r="AK7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5" s="1" t="s">
        <v>173</v>
      </c>
      <c r="AN75" s="3">
        <f>IF(DruidPerception+AF75=0,10+(ROUNDDOWN((AC75-10)/2,0)),10+MAX(DruidPerception,AF75))</f>
        <v>13</v>
      </c>
      <c r="AT75" s="3" t="s">
        <v>14</v>
      </c>
      <c r="AU75" s="3" t="s">
        <v>148</v>
      </c>
      <c r="AV75" s="3" t="s">
        <v>217</v>
      </c>
      <c r="AW75" s="3" t="s">
        <v>173</v>
      </c>
      <c r="AZ75" s="3"/>
      <c r="BA75" s="3" t="s">
        <v>149</v>
      </c>
      <c r="BB75" s="3" t="s">
        <v>150</v>
      </c>
      <c r="BC75" s="3" t="s">
        <v>218</v>
      </c>
      <c r="BD75" s="3" t="s">
        <v>173</v>
      </c>
      <c r="BG75" s="3"/>
      <c r="BH75" s="3" t="s">
        <v>161</v>
      </c>
      <c r="BI75" s="3" t="s">
        <v>150</v>
      </c>
      <c r="BJ75" s="3" t="s">
        <v>375</v>
      </c>
      <c r="BK75" s="3" t="s">
        <v>173</v>
      </c>
      <c r="BL75" s="3" t="s">
        <v>161</v>
      </c>
      <c r="BM75" s="3">
        <v>7</v>
      </c>
      <c r="BN75" s="3" t="s">
        <v>376</v>
      </c>
      <c r="BO75" s="3" t="s">
        <v>220</v>
      </c>
      <c r="BP75" s="3" t="s">
        <v>150</v>
      </c>
      <c r="BQ75" s="3" t="s">
        <v>377</v>
      </c>
      <c r="BR75" s="3" t="s">
        <v>173</v>
      </c>
      <c r="BS75" s="3" t="s">
        <v>220</v>
      </c>
      <c r="BT75" s="3">
        <v>7</v>
      </c>
      <c r="BU75" s="3" t="s">
        <v>378</v>
      </c>
      <c r="BY75" s="3" t="s">
        <v>173</v>
      </c>
      <c r="CJ75" s="6">
        <v>2</v>
      </c>
      <c r="CK75" s="6">
        <f>IF(CJ75&lt;0.26,2,IF(CJ75&lt;0.51,4,IF(CJ75&lt;1.1,8,99)))</f>
        <v>99</v>
      </c>
      <c r="CL75" s="3">
        <f>IF(M75="Elemental",10,IF(CJ75&lt;2,2,CJ75*3))</f>
        <v>6</v>
      </c>
      <c r="CM75" s="3">
        <f>IF(W75&gt;0,8,0)</f>
        <v>0</v>
      </c>
      <c r="CN75" s="3">
        <f>IF(X75&gt;0,4,0)</f>
        <v>4</v>
      </c>
    </row>
    <row r="76" spans="1:92">
      <c r="A76" s="3" t="str">
        <f>IF(DruidLevel&lt;B76,"",CHAR(9)&amp;"&lt;monster&gt;"&amp;CHAR(13)&amp;CHAR(9)&amp;CHAR(9)&amp;"&lt;name&gt;"&amp;L76&amp;" (Wild Shape)&lt;/name&gt;"&amp;CHAR(13)&amp;CHAR(9)&amp;CHAR(9)&amp;"&lt;size&gt;"&amp;LEFT(P76,1)&amp;"&lt;/size&gt;"&amp;CHAR(13)&amp;CHAR(9)&amp;CHAR(9)&amp;"&lt;type&gt;"&amp;M76&amp;"&lt;/type&gt;"&amp;CHAR(13)&amp;CHAR(9)&amp;CHAR(9)&amp;"&lt;alignment&gt;"&amp;N76&amp;"&lt;/alignment&gt;"&amp;CHAR(13)&amp;CHAR(9)&amp;CHAR(9)&amp;"&lt;ac&gt;"&amp;Q76&amp;IF(ISBLANK(R76),""," ("&amp;R76&amp;")")&amp;"&lt;/ac&gt;"&amp;CHAR(13)&amp;CHAR(9)&amp;CHAR(9)&amp;"&lt;hp&gt;"&amp;S76&amp;"&lt;/hp&gt;"&amp;CHAR(13)&amp;CHAR(9)&amp;CHAR(9)&amp;"&lt;speed&gt;"&amp;E76&amp;"&lt;/speed&gt;"&amp;CHAR(13)&amp;CHAR(9)&amp;CHAR(9)&amp;"&lt;str&gt;"&amp;Y76&amp;"&lt;/str&gt;&lt;dex&gt;"&amp;Z76&amp;"&lt;/dex&gt;&lt;con&gt;"&amp;AA76&amp;"&lt;/con&gt;&lt;int&gt;"&amp;AB76&amp;"&lt;/int&gt;&lt;wis&gt;"&amp;AC76&amp;"&lt;/wis&gt;&lt;cha&gt;"&amp;AD76&amp;"&lt;/cha&gt;"&amp;CHAR(13)&amp;CHAR(9)&amp;CHAR(9)&amp;"&lt;save&gt;"&amp;AK76&amp;"&lt;/save&gt;"&amp;CHAR(13)&amp;CHAR(9)&amp;CHAR(9)&amp;"&lt;skill&gt;"&amp;AJ76&amp;"&lt;/skill&gt;"&amp;CHAR(13)&amp;CHAR(9)&amp;CHAR(9)&amp;"&lt;vulnerable&gt;"&amp;AO76&amp;"&lt;/vulnerable&gt;"&amp;CHAR(13)&amp;CHAR(9)&amp;CHAR(9)&amp;"&lt;resist&gt;"&amp;AP76&amp;"&lt;/resist&gt;"&amp;CHAR(13)&amp;CHAR(9)&amp;CHAR(9)&amp;"&lt;immune&gt;"&amp;AQ76&amp;"&lt;/immune&gt;"&amp;CHAR(13)&amp;CHAR(9)&amp;CHAR(9)&amp;"&lt;conditionImmune&gt;"&amp;AR76&amp;"&lt;/conditionImmune&gt;"&amp;CHAR(13)&amp;CHAR(9)&amp;CHAR(9)&amp;"&lt;senses&gt;"&amp;AM76&amp;"&lt;/senses&gt;"&amp;CHAR(13)&amp;CHAR(9)&amp;CHAR(9)&amp;"&lt;passive&gt;"&amp;AN76&amp;"&lt;/passive&gt;"&amp;CHAR(13)&amp;CHAR(9)&amp;CHAR(9)&amp;"&lt;languages&gt;"&amp;AS76&amp;"&lt;/languages&gt;"&amp;CHAR(13)&amp;CHAR(9)&amp;CHAR(9)&amp;"&lt;cr&gt;"&amp;O76&amp;"&lt;/cr&gt;"&amp;F76&amp;G76&amp;H76&amp;I76&amp;J76&amp;K76&amp;IF(C76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6" s="3">
        <f>IF(COTM=TRUE,MAX(CL76,CM76,CN76),MAX(CK76,CM76,CN76))</f>
        <v>2</v>
      </c>
      <c r="C76" s="11" t="str">
        <f>IF(COTM=FALSE,"",IF(DruidLevel&gt;5,"Y",""))</f>
        <v/>
      </c>
      <c r="D76" s="3" t="s">
        <v>173</v>
      </c>
      <c r="E76" s="3" t="str">
        <f>T76&amp;" ft."&amp;IF(U76+V76+W76+X76=0,"",", ")&amp;IF(ISBLANK(U76),"","burrow "&amp;U76&amp;" ft."&amp;IF(V76+W76+X76=0,"",", "))&amp;IF(ISBLANK(V76),"","climb "&amp;V76&amp;" ft."&amp;IF(W76+X76=0,"",", "))&amp;IF(ISBLANK(W76),"","fly "&amp;W76&amp;" ft."&amp;IF(X76=0,"",", "))&amp;IF(ISBLANK(X76),"","swim "&amp;X76&amp;" ft.")</f>
        <v>40 ft.</v>
      </c>
      <c r="F76" s="3" t="str">
        <f>IF(ISBLANK(AT76),"",CHAR(13)&amp;CHAR(9)&amp;CHAR(9)&amp;"&lt;"&amp;AU76&amp;"&gt;"&amp;CHAR(13)&amp;CHAR(9)&amp;CHAR(9)&amp;CHAR(9)&amp;"&lt;name&gt;"&amp;AT76&amp;"&lt;/name&gt;"&amp;CHAR(13)&amp;CHAR(9)&amp;CHAR(9)&amp;CHAR(9)&amp;"&lt;text&gt;"&amp;AV76&amp;"&lt;/text&gt;"&amp;IF(ISBLANK(AX76),"",CHAR(13)&amp;CHAR(9)&amp;CHAR(9)&amp;CHAR(9)&amp;"&lt;attack&gt;"&amp;AX76&amp;"|"&amp;AY76&amp;"|"&amp;AZ76&amp;"&lt;/attack&gt;")&amp;CHAR(13)&amp;CHAR(9)&amp;CHAR(9)&amp;"&lt;/"&amp;AU76&amp;"&gt;")</f>
        <v>_x000D_		&lt;action&gt;_x000D_			&lt;name&gt;Hooves&lt;/name&gt;_x000D_			&lt;text&gt;Melee Weapon Attack: +4 to hit, reach 5 ft., one target. Hit: 7 (2d4+2) bludgeoning damage.&lt;/text&gt;_x000D_			&lt;attack&gt;Hooves|4|2d4+2&lt;/attack&gt;_x000D_		&lt;/action&gt;</v>
      </c>
      <c r="G76" s="3" t="str">
        <f>IF(ISBLANK(BA76),"",CHAR(13)&amp;CHAR(9)&amp;CHAR(9)&amp;"&lt;"&amp;BB76&amp;"&gt;"&amp;CHAR(13)&amp;CHAR(9)&amp;CHAR(9)&amp;CHAR(9)&amp;"&lt;name&gt;"&amp;BA76&amp;"&lt;/name&gt;"&amp;CHAR(13)&amp;CHAR(9)&amp;CHAR(9)&amp;CHAR(9)&amp;"&lt;text&gt;"&amp;BC76&amp;"&lt;/text&gt;"&amp;IF(ISBLANK(BE76),"",CHAR(13)&amp;CHAR(9)&amp;CHAR(9)&amp;CHAR(9)&amp;"&lt;attack&gt;"&amp;BE76&amp;"|"&amp;BF76&amp;"|"&amp;BG76&amp;"&lt;/attack&gt;")&amp;CHAR(13)&amp;CHAR(9)&amp;CHAR(9)&amp;"&lt;/"&amp;BB76&amp;"&gt;")</f>
        <v/>
      </c>
      <c r="H76" s="3" t="str">
        <f>IF(ISBLANK(BH76),"",CHAR(13)&amp;CHAR(9)&amp;CHAR(9)&amp;"&lt;"&amp;BI76&amp;"&gt;"&amp;CHAR(13)&amp;CHAR(9)&amp;CHAR(9)&amp;CHAR(9)&amp;"&lt;name&gt;"&amp;BH76&amp;"&lt;/name&gt;"&amp;CHAR(13)&amp;CHAR(9)&amp;CHAR(9)&amp;CHAR(9)&amp;"&lt;text&gt;"&amp;BJ76&amp;"&lt;/text&gt;"&amp;IF(ISBLANK(BL76),"",CHAR(13)&amp;CHAR(9)&amp;CHAR(9)&amp;CHAR(9)&amp;"&lt;attack&gt;"&amp;BL76&amp;"|"&amp;BM76&amp;"|"&amp;BN76&amp;"&lt;/attack&gt;")&amp;CHAR(13)&amp;CHAR(9)&amp;CHAR(9)&amp;"&lt;/"&amp;BI76&amp;"&gt;")</f>
        <v/>
      </c>
      <c r="I76" s="3" t="str">
        <f>IF(ISBLANK(BO76),"",CHAR(13)&amp;CHAR(9)&amp;CHAR(9)&amp;"&lt;"&amp;BP76&amp;"&gt;"&amp;CHAR(13)&amp;CHAR(9)&amp;CHAR(9)&amp;CHAR(9)&amp;"&lt;name&gt;"&amp;BO76&amp;"&lt;/name&gt;"&amp;CHAR(13)&amp;CHAR(9)&amp;CHAR(9)&amp;CHAR(9)&amp;"&lt;text&gt;"&amp;BQ76&amp;"&lt;/text&gt;"&amp;IF(ISBLANK(BS76),"",CHAR(13)&amp;CHAR(9)&amp;CHAR(9)&amp;CHAR(9)&amp;"&lt;attack&gt;"&amp;BS76&amp;"|"&amp;BT76&amp;"|"&amp;BU76&amp;"&lt;/attack&gt;")&amp;CHAR(13)&amp;CHAR(9)&amp;CHAR(9)&amp;"&lt;/"&amp;BP76&amp;"&gt;")</f>
        <v/>
      </c>
      <c r="J76" s="3" t="str">
        <f>IF(ISBLANK(BV76),"",CHAR(13)&amp;CHAR(9)&amp;CHAR(9)&amp;"&lt;"&amp;BW76&amp;"&gt;"&amp;CHAR(13)&amp;CHAR(9)&amp;CHAR(9)&amp;CHAR(9)&amp;"&lt;name&gt;"&amp;BV76&amp;"&lt;/name&gt;"&amp;CHAR(13)&amp;CHAR(9)&amp;CHAR(9)&amp;CHAR(9)&amp;"&lt;text&gt;"&amp;BX76&amp;"&lt;/text&gt;"&amp;IF(ISBLANK(BZ76),"",CHAR(13)&amp;CHAR(9)&amp;CHAR(9)&amp;CHAR(9)&amp;"&lt;attack&gt;"&amp;BZ76&amp;"|"&amp;CA76&amp;"|"&amp;CB76&amp;"&lt;/attack&gt;")&amp;CHAR(13)&amp;CHAR(9)&amp;CHAR(9)&amp;"&lt;/"&amp;BW76&amp;"&gt;")</f>
        <v/>
      </c>
      <c r="K76" s="3" t="str">
        <f>IF(ISBLANK(CC76),"",CHAR(13)&amp;CHAR(9)&amp;CHAR(9)&amp;"&lt;"&amp;CD76&amp;"&gt;"&amp;CHAR(13)&amp;CHAR(9)&amp;CHAR(9)&amp;CHAR(9)&amp;"&lt;name&gt;"&amp;CC76&amp;"&lt;/name&gt;"&amp;CHAR(13)&amp;CHAR(9)&amp;CHAR(9)&amp;CHAR(9)&amp;"&lt;text&gt;"&amp;CE76&amp;"&lt;/text&gt;"&amp;IF(ISBLANK(CG76),"",CHAR(13)&amp;CHAR(9)&amp;CHAR(9)&amp;CHAR(9)&amp;"&lt;attack&gt;"&amp;CG76&amp;"|"&amp;CH76&amp;"|"&amp;CI76&amp;"&lt;/attack&gt;")&amp;CHAR(13)&amp;CHAR(9)&amp;CHAR(9)&amp;"&lt;/"&amp;CD76&amp;"&gt;")</f>
        <v/>
      </c>
      <c r="L76" s="1" t="s">
        <v>33</v>
      </c>
      <c r="M76" s="1" t="s">
        <v>275</v>
      </c>
      <c r="N76" s="1">
        <f>DruidAlignment</f>
        <v>0</v>
      </c>
      <c r="O76" s="5" t="s">
        <v>207</v>
      </c>
      <c r="P76" s="1" t="s">
        <v>17</v>
      </c>
      <c r="Q76" s="1">
        <v>10</v>
      </c>
      <c r="R76" s="1"/>
      <c r="S76" s="1">
        <v>11</v>
      </c>
      <c r="T76" s="1">
        <v>40</v>
      </c>
      <c r="Y76" s="1">
        <v>15</v>
      </c>
      <c r="Z76" s="1">
        <v>10</v>
      </c>
      <c r="AA76" s="1">
        <v>13</v>
      </c>
      <c r="AB76" s="10">
        <f>DruidInt</f>
        <v>0</v>
      </c>
      <c r="AC76" s="10">
        <f>DruidWis</f>
        <v>0</v>
      </c>
      <c r="AD76" s="10">
        <f>DruidCha</f>
        <v>0</v>
      </c>
      <c r="AE76" s="12"/>
      <c r="AF76" s="12"/>
      <c r="AG76" s="12"/>
      <c r="AH76" s="12" t="s">
        <v>173</v>
      </c>
      <c r="AI76" s="12" t="str">
        <f>IF(ISBLANK(DruidAcrobatics),"",", Acrobatics +"&amp;DruidAcrobatics)&amp;IF(ISBLANK(DruidAnimalHandling),"",", Animal Handling +"&amp;DruidAnimalHandling)&amp;IF(ISBLANK(DruidArcana),"",", Arcana +"&amp;DruidArcana)&amp;IF(DruidAthletics+AE76=0,"",", Athletics +"&amp;MAX(DruidAthletics,AE76))&amp;IF(ISBLANK(DruidDeception),"",",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+"&amp;DruidNature)&amp;IF(DruidPerception+AF76=0,"",", Perception +"&amp;MAX(DruidPerception,AF76))&amp;IF(ISBLANK(DruidPerformance),"",", Performance +"&amp;DruidPerformance)&amp;IF(ISBLANK(DruidPersuasion),"",", Persuasion +"&amp;DruidPersuasion)&amp;IF(ISBLANK(DruidReligion),"",", Religion +"&amp;DruidReligion)&amp;IF(ISBLANK(DruidSleightofHand),"",", Sleight of Hand +"&amp;DruidSleightofHand)&amp;IF(DruidStealth+AG76=0,"",", Stealth +"&amp;MAX(DruidStealth,AG76))&amp;IF(ISBLANK(DruidSurvival),"",", Survival +"&amp;DruidSurvival)</f>
        <v/>
      </c>
      <c r="AJ76" s="1" t="e">
        <f>RIGHT(AI76,LEN(AI76)-2)</f>
        <v>#VALUE!</v>
      </c>
      <c r="AK7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6" s="1" t="s">
        <v>173</v>
      </c>
      <c r="AN76" s="3">
        <f>IF(DruidPerception+AF76=0,10+(ROUNDDOWN((AC76-10)/2,0)),10+MAX(DruidPerception,AF76))</f>
        <v>5</v>
      </c>
      <c r="AT76" s="3" t="s">
        <v>240</v>
      </c>
      <c r="AU76" s="3" t="s">
        <v>150</v>
      </c>
      <c r="AV76" s="3" t="s">
        <v>471</v>
      </c>
      <c r="AW76" s="3" t="s">
        <v>173</v>
      </c>
      <c r="AX76" s="3" t="s">
        <v>240</v>
      </c>
      <c r="AY76" s="3">
        <v>4</v>
      </c>
      <c r="AZ76" s="9" t="s">
        <v>221</v>
      </c>
      <c r="BD76" s="3" t="s">
        <v>173</v>
      </c>
      <c r="BG76" s="9"/>
      <c r="BK76" s="3" t="s">
        <v>173</v>
      </c>
      <c r="BN76" s="9"/>
      <c r="BR76" s="3" t="s">
        <v>173</v>
      </c>
      <c r="BY76" s="3" t="s">
        <v>173</v>
      </c>
      <c r="CJ76" s="6">
        <v>0.125</v>
      </c>
      <c r="CK76" s="6">
        <f>IF(CJ76&lt;0.26,2,IF(CJ76&lt;0.51,4,IF(CJ76&lt;1.1,8,99)))</f>
        <v>2</v>
      </c>
      <c r="CL76" s="3">
        <f>IF(M76="Elemental",10,IF(CJ76&lt;2,2,CJ76*3))</f>
        <v>2</v>
      </c>
      <c r="CM76" s="3">
        <f>IF(W76&gt;0,8,0)</f>
        <v>0</v>
      </c>
      <c r="CN76" s="3">
        <f>IF(X76&gt;0,4,0)</f>
        <v>0</v>
      </c>
    </row>
    <row r="77" spans="1:92">
      <c r="A77" s="3" t="str">
        <f>IF(DruidLevel&lt;B77,"",CHAR(9)&amp;"&lt;monster&gt;"&amp;CHAR(13)&amp;CHAR(9)&amp;CHAR(9)&amp;"&lt;name&gt;"&amp;L77&amp;" (Wild Shape)&lt;/name&gt;"&amp;CHAR(13)&amp;CHAR(9)&amp;CHAR(9)&amp;"&lt;size&gt;"&amp;LEFT(P77,1)&amp;"&lt;/size&gt;"&amp;CHAR(13)&amp;CHAR(9)&amp;CHAR(9)&amp;"&lt;type&gt;"&amp;M77&amp;"&lt;/type&gt;"&amp;CHAR(13)&amp;CHAR(9)&amp;CHAR(9)&amp;"&lt;alignment&gt;"&amp;N77&amp;"&lt;/alignment&gt;"&amp;CHAR(13)&amp;CHAR(9)&amp;CHAR(9)&amp;"&lt;ac&gt;"&amp;Q77&amp;IF(ISBLANK(R77),""," ("&amp;R77&amp;")")&amp;"&lt;/ac&gt;"&amp;CHAR(13)&amp;CHAR(9)&amp;CHAR(9)&amp;"&lt;hp&gt;"&amp;S77&amp;"&lt;/hp&gt;"&amp;CHAR(13)&amp;CHAR(9)&amp;CHAR(9)&amp;"&lt;speed&gt;"&amp;E77&amp;"&lt;/speed&gt;"&amp;CHAR(13)&amp;CHAR(9)&amp;CHAR(9)&amp;"&lt;str&gt;"&amp;Y77&amp;"&lt;/str&gt;&lt;dex&gt;"&amp;Z77&amp;"&lt;/dex&gt;&lt;con&gt;"&amp;AA77&amp;"&lt;/con&gt;&lt;int&gt;"&amp;AB77&amp;"&lt;/int&gt;&lt;wis&gt;"&amp;AC77&amp;"&lt;/wis&gt;&lt;cha&gt;"&amp;AD77&amp;"&lt;/cha&gt;"&amp;CHAR(13)&amp;CHAR(9)&amp;CHAR(9)&amp;"&lt;save&gt;"&amp;AK77&amp;"&lt;/save&gt;"&amp;CHAR(13)&amp;CHAR(9)&amp;CHAR(9)&amp;"&lt;skill&gt;"&amp;AJ77&amp;"&lt;/skill&gt;"&amp;CHAR(13)&amp;CHAR(9)&amp;CHAR(9)&amp;"&lt;vulnerable&gt;"&amp;AO77&amp;"&lt;/vulnerable&gt;"&amp;CHAR(13)&amp;CHAR(9)&amp;CHAR(9)&amp;"&lt;resist&gt;"&amp;AP77&amp;"&lt;/resist&gt;"&amp;CHAR(13)&amp;CHAR(9)&amp;CHAR(9)&amp;"&lt;immune&gt;"&amp;AQ77&amp;"&lt;/immune&gt;"&amp;CHAR(13)&amp;CHAR(9)&amp;CHAR(9)&amp;"&lt;conditionImmune&gt;"&amp;AR77&amp;"&lt;/conditionImmune&gt;"&amp;CHAR(13)&amp;CHAR(9)&amp;CHAR(9)&amp;"&lt;senses&gt;"&amp;AM77&amp;"&lt;/senses&gt;"&amp;CHAR(13)&amp;CHAR(9)&amp;CHAR(9)&amp;"&lt;passive&gt;"&amp;AN77&amp;"&lt;/passive&gt;"&amp;CHAR(13)&amp;CHAR(9)&amp;CHAR(9)&amp;"&lt;languages&gt;"&amp;AS77&amp;"&lt;/languages&gt;"&amp;CHAR(13)&amp;CHAR(9)&amp;CHAR(9)&amp;"&lt;cr&gt;"&amp;O77&amp;"&lt;/cr&gt;"&amp;F77&amp;G77&amp;H77&amp;I77&amp;J77&amp;K77&amp;IF(C77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7" s="3">
        <f>IF(COTM=TRUE,MAX(CL77,CM77,CN77),MAX(CK77,CM77,CN77))</f>
        <v>8</v>
      </c>
      <c r="C77" s="11" t="str">
        <f>IF(COTM=FALSE,"",IF(DruidLevel&gt;5,"Y",""))</f>
        <v/>
      </c>
      <c r="D77" s="3" t="s">
        <v>173</v>
      </c>
      <c r="E77" s="3" t="str">
        <f>T77&amp;" ft."&amp;IF(U77+V77+W77+X77=0,"",", ")&amp;IF(ISBLANK(U77),"","burrow "&amp;U77&amp;" ft."&amp;IF(V77+W77+X77=0,"",", "))&amp;IF(ISBLANK(V77),"","climb "&amp;V77&amp;" ft."&amp;IF(W77+X77=0,"",", "))&amp;IF(ISBLANK(W77),"","fly "&amp;W77&amp;" ft."&amp;IF(X77=0,"",", "))&amp;IF(ISBLANK(X77),"","swim "&amp;X77&amp;" ft.")</f>
        <v>10 ft., fly 60 ft.</v>
      </c>
      <c r="F77" s="3" t="str">
        <f>IF(ISBLANK(AT77),"",CHAR(13)&amp;CHAR(9)&amp;CHAR(9)&amp;"&lt;"&amp;AU77&amp;"&gt;"&amp;CHAR(13)&amp;CHAR(9)&amp;CHAR(9)&amp;CHAR(9)&amp;"&lt;name&gt;"&amp;AT77&amp;"&lt;/name&gt;"&amp;CHAR(13)&amp;CHAR(9)&amp;CHAR(9)&amp;CHAR(9)&amp;"&lt;text&gt;"&amp;AV77&amp;"&lt;/text&gt;"&amp;IF(ISBLANK(AX77),"",CHAR(13)&amp;CHAR(9)&amp;CHAR(9)&amp;CHAR(9)&amp;"&lt;attack&gt;"&amp;AX77&amp;"|"&amp;AY77&amp;"|"&amp;AZ77&amp;"&lt;/attack&gt;")&amp;CHAR(13)&amp;CHAR(9)&amp;CHAR(9)&amp;"&lt;/"&amp;AU77&amp;"&gt;")</f>
        <v>_x000D_		&lt;trait&gt;_x000D_			&lt;name&gt;Flyby&lt;/name&gt;_x000D_			&lt;text&gt;The pteranodon doesn't provoke opportunity attacks when it flies out of an enemy's reach.&lt;/text&gt;_x000D_		&lt;/trait&gt;</v>
      </c>
      <c r="G77" s="3" t="str">
        <f>IF(ISBLANK(BA77),"",CHAR(13)&amp;CHAR(9)&amp;CHAR(9)&amp;"&lt;"&amp;BB77&amp;"&gt;"&amp;CHAR(13)&amp;CHAR(9)&amp;CHAR(9)&amp;CHAR(9)&amp;"&lt;name&gt;"&amp;BA77&amp;"&lt;/name&gt;"&amp;CHAR(13)&amp;CHAR(9)&amp;CHAR(9)&amp;CHAR(9)&amp;"&lt;text&gt;"&amp;BC77&amp;"&lt;/text&gt;"&amp;IF(ISBLANK(BE77),"",CHAR(13)&amp;CHAR(9)&amp;CHAR(9)&amp;CHAR(9)&amp;"&lt;attack&gt;"&amp;BE77&amp;"|"&amp;BF77&amp;"|"&amp;BG77&amp;"&lt;/attack&gt;")&amp;CHAR(13)&amp;CHAR(9)&amp;CHAR(9)&amp;"&lt;/"&amp;BB77&amp;"&gt;")</f>
        <v>_x000D_		&lt;action&gt;_x000D_			&lt;name&gt;Bite&lt;/name&gt;_x000D_			&lt;text&gt;Melee Weapon Attack: +3 to hit, reach 5 ft., one target. Hit: 6 (2d4+1) piercing damage&lt;/text&gt;_x000D_		&lt;/action&gt;</v>
      </c>
      <c r="H77" s="3" t="str">
        <f>IF(ISBLANK(BH77),"",CHAR(13)&amp;CHAR(9)&amp;CHAR(9)&amp;"&lt;"&amp;BI77&amp;"&gt;"&amp;CHAR(13)&amp;CHAR(9)&amp;CHAR(9)&amp;CHAR(9)&amp;"&lt;name&gt;"&amp;BH77&amp;"&lt;/name&gt;"&amp;CHAR(13)&amp;CHAR(9)&amp;CHAR(9)&amp;CHAR(9)&amp;"&lt;text&gt;"&amp;BJ77&amp;"&lt;/text&gt;"&amp;IF(ISBLANK(BL77),"",CHAR(13)&amp;CHAR(9)&amp;CHAR(9)&amp;CHAR(9)&amp;"&lt;attack&gt;"&amp;BL77&amp;"|"&amp;BM77&amp;"|"&amp;BN77&amp;"&lt;/attack&gt;")&amp;CHAR(13)&amp;CHAR(9)&amp;CHAR(9)&amp;"&lt;/"&amp;BI77&amp;"&gt;")</f>
        <v/>
      </c>
      <c r="I77" s="3" t="str">
        <f>IF(ISBLANK(BO77),"",CHAR(13)&amp;CHAR(9)&amp;CHAR(9)&amp;"&lt;"&amp;BP77&amp;"&gt;"&amp;CHAR(13)&amp;CHAR(9)&amp;CHAR(9)&amp;CHAR(9)&amp;"&lt;name&gt;"&amp;BO77&amp;"&lt;/name&gt;"&amp;CHAR(13)&amp;CHAR(9)&amp;CHAR(9)&amp;CHAR(9)&amp;"&lt;text&gt;"&amp;BQ77&amp;"&lt;/text&gt;"&amp;IF(ISBLANK(BS77),"",CHAR(13)&amp;CHAR(9)&amp;CHAR(9)&amp;CHAR(9)&amp;"&lt;attack&gt;"&amp;BS77&amp;"|"&amp;BT77&amp;"|"&amp;BU77&amp;"&lt;/attack&gt;")&amp;CHAR(13)&amp;CHAR(9)&amp;CHAR(9)&amp;"&lt;/"&amp;BP77&amp;"&gt;")</f>
        <v/>
      </c>
      <c r="J77" s="3" t="str">
        <f>IF(ISBLANK(BV77),"",CHAR(13)&amp;CHAR(9)&amp;CHAR(9)&amp;"&lt;"&amp;BW77&amp;"&gt;"&amp;CHAR(13)&amp;CHAR(9)&amp;CHAR(9)&amp;CHAR(9)&amp;"&lt;name&gt;"&amp;BV77&amp;"&lt;/name&gt;"&amp;CHAR(13)&amp;CHAR(9)&amp;CHAR(9)&amp;CHAR(9)&amp;"&lt;text&gt;"&amp;BX77&amp;"&lt;/text&gt;"&amp;IF(ISBLANK(BZ77),"",CHAR(13)&amp;CHAR(9)&amp;CHAR(9)&amp;CHAR(9)&amp;"&lt;attack&gt;"&amp;BZ77&amp;"|"&amp;CA77&amp;"|"&amp;CB77&amp;"&lt;/attack&gt;")&amp;CHAR(13)&amp;CHAR(9)&amp;CHAR(9)&amp;"&lt;/"&amp;BW77&amp;"&gt;")</f>
        <v/>
      </c>
      <c r="K77" s="3" t="str">
        <f>IF(ISBLANK(CC77),"",CHAR(13)&amp;CHAR(9)&amp;CHAR(9)&amp;"&lt;"&amp;CD77&amp;"&gt;"&amp;CHAR(13)&amp;CHAR(9)&amp;CHAR(9)&amp;CHAR(9)&amp;"&lt;name&gt;"&amp;CC77&amp;"&lt;/name&gt;"&amp;CHAR(13)&amp;CHAR(9)&amp;CHAR(9)&amp;CHAR(9)&amp;"&lt;text&gt;"&amp;CE77&amp;"&lt;/text&gt;"&amp;IF(ISBLANK(CG77),"",CHAR(13)&amp;CHAR(9)&amp;CHAR(9)&amp;CHAR(9)&amp;"&lt;attack&gt;"&amp;CG77&amp;"|"&amp;CH77&amp;"|"&amp;CI77&amp;"&lt;/attack&gt;")&amp;CHAR(13)&amp;CHAR(9)&amp;CHAR(9)&amp;"&lt;/"&amp;CD77&amp;"&gt;")</f>
        <v/>
      </c>
      <c r="L77" s="1" t="s">
        <v>98</v>
      </c>
      <c r="M77" s="1" t="s">
        <v>275</v>
      </c>
      <c r="N77" s="1">
        <f>DruidAlignment</f>
        <v>0</v>
      </c>
      <c r="O77" s="2" t="s">
        <v>208</v>
      </c>
      <c r="P77" s="1" t="s">
        <v>17</v>
      </c>
      <c r="Q77" s="1">
        <v>13</v>
      </c>
      <c r="R77" s="1" t="s">
        <v>405</v>
      </c>
      <c r="S77" s="1">
        <v>13</v>
      </c>
      <c r="T77" s="1">
        <v>10</v>
      </c>
      <c r="W77" s="1">
        <v>60</v>
      </c>
      <c r="Y77" s="1">
        <v>12</v>
      </c>
      <c r="Z77" s="1">
        <v>15</v>
      </c>
      <c r="AA77" s="1">
        <v>10</v>
      </c>
      <c r="AB77" s="10">
        <f>DruidInt</f>
        <v>0</v>
      </c>
      <c r="AC77" s="10">
        <f>DruidWis</f>
        <v>0</v>
      </c>
      <c r="AD77" s="10">
        <f>DruidCha</f>
        <v>0</v>
      </c>
      <c r="AE77" s="12"/>
      <c r="AF77" s="12"/>
      <c r="AG77" s="12"/>
      <c r="AH77" s="12" t="s">
        <v>173</v>
      </c>
      <c r="AI77" s="12" t="str">
        <f>IF(ISBLANK(DruidAcrobatics),"",", Acrobatics +"&amp;DruidAcrobatics)&amp;IF(ISBLANK(DruidAnimalHandling),"",", Animal Handling +"&amp;DruidAnimalHandling)&amp;IF(ISBLANK(DruidArcana),"",", Arcana +"&amp;DruidArcana)&amp;IF(DruidAthletics+AE77=0,"",", Athletics +"&amp;MAX(DruidAthletics,AE77))&amp;IF(ISBLANK(DruidDeception),"",",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+"&amp;DruidNature)&amp;IF(DruidPerception+AF77=0,"",", Perception +"&amp;MAX(DruidPerception,AF77))&amp;IF(ISBLANK(DruidPerformance),"",", Performance +"&amp;DruidPerformance)&amp;IF(ISBLANK(DruidPersuasion),"",", Persuasion +"&amp;DruidPersuasion)&amp;IF(ISBLANK(DruidReligion),"",", Religion +"&amp;DruidReligion)&amp;IF(ISBLANK(DruidSleightofHand),"",", Sleight of Hand +"&amp;DruidSleightofHand)&amp;IF(DruidStealth+AG77=0,"",", Stealth +"&amp;MAX(DruidStealth,AG77))&amp;IF(ISBLANK(DruidSurvival),"",", Survival +"&amp;DruidSurvival)</f>
        <v/>
      </c>
      <c r="AJ77" s="1" t="e">
        <f>RIGHT(AI77,LEN(AI77)-2)</f>
        <v>#VALUE!</v>
      </c>
      <c r="AK7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7" s="1" t="s">
        <v>173</v>
      </c>
      <c r="AN77" s="3">
        <f>IF(DruidPerception+AF77=0,10+(ROUNDDOWN((AC77-10)/2,0)),10+MAX(DruidPerception,AF77))</f>
        <v>5</v>
      </c>
      <c r="AT77" s="3" t="s">
        <v>95</v>
      </c>
      <c r="AU77" s="3" t="s">
        <v>148</v>
      </c>
      <c r="AV77" s="3" t="s">
        <v>497</v>
      </c>
      <c r="AW77" s="3" t="s">
        <v>173</v>
      </c>
      <c r="AZ77" s="3"/>
      <c r="BA77" s="3" t="s">
        <v>161</v>
      </c>
      <c r="BB77" s="3" t="s">
        <v>150</v>
      </c>
      <c r="BC77" s="3" t="s">
        <v>472</v>
      </c>
      <c r="BD77" s="3" t="s">
        <v>173</v>
      </c>
      <c r="BG77" s="3"/>
      <c r="BK77" s="3" t="s">
        <v>173</v>
      </c>
      <c r="BN77" s="3"/>
      <c r="BR77" s="3" t="s">
        <v>173</v>
      </c>
      <c r="BY77" s="3" t="s">
        <v>173</v>
      </c>
      <c r="CJ77" s="6">
        <v>0.25</v>
      </c>
      <c r="CK77" s="6">
        <f>IF(CJ77&lt;0.26,2,IF(CJ77&lt;0.51,4,IF(CJ77&lt;1.1,8,99)))</f>
        <v>2</v>
      </c>
      <c r="CL77" s="3">
        <f>IF(M77="Elemental",10,IF(CJ77&lt;2,2,CJ77*3))</f>
        <v>2</v>
      </c>
      <c r="CM77" s="3">
        <f>IF(W77&gt;0,8,0)</f>
        <v>8</v>
      </c>
      <c r="CN77" s="3">
        <f>IF(X77&gt;0,4,0)</f>
        <v>0</v>
      </c>
    </row>
    <row r="78" spans="1:92">
      <c r="A78" s="3" t="str">
        <f>IF(DruidLevel&lt;B78,"",CHAR(9)&amp;"&lt;monster&gt;"&amp;CHAR(13)&amp;CHAR(9)&amp;CHAR(9)&amp;"&lt;name&gt;"&amp;L78&amp;" (Wild Shape)&lt;/name&gt;"&amp;CHAR(13)&amp;CHAR(9)&amp;CHAR(9)&amp;"&lt;size&gt;"&amp;LEFT(P78,1)&amp;"&lt;/size&gt;"&amp;CHAR(13)&amp;CHAR(9)&amp;CHAR(9)&amp;"&lt;type&gt;"&amp;M78&amp;"&lt;/type&gt;"&amp;CHAR(13)&amp;CHAR(9)&amp;CHAR(9)&amp;"&lt;alignment&gt;"&amp;N78&amp;"&lt;/alignment&gt;"&amp;CHAR(13)&amp;CHAR(9)&amp;CHAR(9)&amp;"&lt;ac&gt;"&amp;Q78&amp;IF(ISBLANK(R78),""," ("&amp;R78&amp;")")&amp;"&lt;/ac&gt;"&amp;CHAR(13)&amp;CHAR(9)&amp;CHAR(9)&amp;"&lt;hp&gt;"&amp;S78&amp;"&lt;/hp&gt;"&amp;CHAR(13)&amp;CHAR(9)&amp;CHAR(9)&amp;"&lt;speed&gt;"&amp;E78&amp;"&lt;/speed&gt;"&amp;CHAR(13)&amp;CHAR(9)&amp;CHAR(9)&amp;"&lt;str&gt;"&amp;Y78&amp;"&lt;/str&gt;&lt;dex&gt;"&amp;Z78&amp;"&lt;/dex&gt;&lt;con&gt;"&amp;AA78&amp;"&lt;/con&gt;&lt;int&gt;"&amp;AB78&amp;"&lt;/int&gt;&lt;wis&gt;"&amp;AC78&amp;"&lt;/wis&gt;&lt;cha&gt;"&amp;AD78&amp;"&lt;/cha&gt;"&amp;CHAR(13)&amp;CHAR(9)&amp;CHAR(9)&amp;"&lt;save&gt;"&amp;AK78&amp;"&lt;/save&gt;"&amp;CHAR(13)&amp;CHAR(9)&amp;CHAR(9)&amp;"&lt;skill&gt;"&amp;AJ78&amp;"&lt;/skill&gt;"&amp;CHAR(13)&amp;CHAR(9)&amp;CHAR(9)&amp;"&lt;vulnerable&gt;"&amp;AO78&amp;"&lt;/vulnerable&gt;"&amp;CHAR(13)&amp;CHAR(9)&amp;CHAR(9)&amp;"&lt;resist&gt;"&amp;AP78&amp;"&lt;/resist&gt;"&amp;CHAR(13)&amp;CHAR(9)&amp;CHAR(9)&amp;"&lt;immune&gt;"&amp;AQ78&amp;"&lt;/immune&gt;"&amp;CHAR(13)&amp;CHAR(9)&amp;CHAR(9)&amp;"&lt;conditionImmune&gt;"&amp;AR78&amp;"&lt;/conditionImmune&gt;"&amp;CHAR(13)&amp;CHAR(9)&amp;CHAR(9)&amp;"&lt;senses&gt;"&amp;AM78&amp;"&lt;/senses&gt;"&amp;CHAR(13)&amp;CHAR(9)&amp;CHAR(9)&amp;"&lt;passive&gt;"&amp;AN78&amp;"&lt;/passive&gt;"&amp;CHAR(13)&amp;CHAR(9)&amp;CHAR(9)&amp;"&lt;languages&gt;"&amp;AS78&amp;"&lt;/languages&gt;"&amp;CHAR(13)&amp;CHAR(9)&amp;CHAR(9)&amp;"&lt;cr&gt;"&amp;O78&amp;"&lt;/cr&gt;"&amp;F78&amp;G78&amp;H78&amp;I78&amp;J78&amp;K78&amp;IF(C78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8" s="3">
        <f>IF(COTM=TRUE,MAX(CL78,CM78,CN78),MAX(CK78,CM78,CN78))</f>
        <v>4</v>
      </c>
      <c r="C78" s="11" t="str">
        <f>IF(COTM=FALSE,"",IF(DruidLevel&gt;5,"Y",""))</f>
        <v/>
      </c>
      <c r="D78" s="3" t="s">
        <v>173</v>
      </c>
      <c r="E78" s="3" t="str">
        <f>T78&amp;" ft."&amp;IF(U78+V78+W78+X78=0,"",", ")&amp;IF(ISBLANK(U78),"","burrow "&amp;U78&amp;" ft."&amp;IF(V78+W78+X78=0,"",", "))&amp;IF(ISBLANK(V78),"","climb "&amp;V78&amp;" ft."&amp;IF(W78+X78=0,"",", "))&amp;IF(ISBLANK(W78),"","fly "&amp;W78&amp;" ft."&amp;IF(X78=0,"",", "))&amp;IF(ISBLANK(X78),"","swim "&amp;X78&amp;" ft.")</f>
        <v>0 ft., swim 40 ft.</v>
      </c>
      <c r="F78" s="3" t="str">
        <f>IF(ISBLANK(AT78),"",CHAR(13)&amp;CHAR(9)&amp;CHAR(9)&amp;"&lt;"&amp;AU78&amp;"&gt;"&amp;CHAR(13)&amp;CHAR(9)&amp;CHAR(9)&amp;CHAR(9)&amp;"&lt;name&gt;"&amp;AT78&amp;"&lt;/name&gt;"&amp;CHAR(13)&amp;CHAR(9)&amp;CHAR(9)&amp;CHAR(9)&amp;"&lt;text&gt;"&amp;AV78&amp;"&lt;/text&gt;"&amp;IF(ISBLANK(AX78),"",CHAR(13)&amp;CHAR(9)&amp;CHAR(9)&amp;CHAR(9)&amp;"&lt;attack&gt;"&amp;AX78&amp;"|"&amp;AY78&amp;"|"&amp;AZ78&amp;"&lt;/attack&gt;")&amp;CHAR(13)&amp;CHAR(9)&amp;CHAR(9)&amp;"&lt;/"&amp;AU78&amp;"&gt;")</f>
        <v>_x000D_		&lt;trait&gt;_x000D_			&lt;name&gt;Blood Frenzy&lt;/name&gt;_x000D_			&lt;text&gt;The quipper has advantage on melee attack rolls against any creature that doesn't have all its hit points.&lt;/text&gt;_x000D_		&lt;/trait&gt;</v>
      </c>
      <c r="G78" s="3" t="str">
        <f>IF(ISBLANK(BA78),"",CHAR(13)&amp;CHAR(9)&amp;CHAR(9)&amp;"&lt;"&amp;BB78&amp;"&gt;"&amp;CHAR(13)&amp;CHAR(9)&amp;CHAR(9)&amp;CHAR(9)&amp;"&lt;name&gt;"&amp;BA78&amp;"&lt;/name&gt;"&amp;CHAR(13)&amp;CHAR(9)&amp;CHAR(9)&amp;CHAR(9)&amp;"&lt;text&gt;"&amp;BC78&amp;"&lt;/text&gt;"&amp;IF(ISBLANK(BE78),"",CHAR(13)&amp;CHAR(9)&amp;CHAR(9)&amp;CHAR(9)&amp;"&lt;attack&gt;"&amp;BE78&amp;"|"&amp;BF78&amp;"|"&amp;BG78&amp;"&lt;/attack&gt;")&amp;CHAR(13)&amp;CHAR(9)&amp;CHAR(9)&amp;"&lt;/"&amp;BB78&amp;"&gt;")</f>
        <v>_x000D_		&lt;trait&gt;_x000D_			&lt;name&gt;Water Breathing&lt;/name&gt;_x000D_			&lt;text&gt;The quipper can breathe only underwater.&lt;/text&gt;_x000D_		&lt;/trait&gt;</v>
      </c>
      <c r="H78" s="3" t="str">
        <f>IF(ISBLANK(BH78),"",CHAR(13)&amp;CHAR(9)&amp;CHAR(9)&amp;"&lt;"&amp;BI78&amp;"&gt;"&amp;CHAR(13)&amp;CHAR(9)&amp;CHAR(9)&amp;CHAR(9)&amp;"&lt;name&gt;"&amp;BH78&amp;"&lt;/name&gt;"&amp;CHAR(13)&amp;CHAR(9)&amp;CHAR(9)&amp;CHAR(9)&amp;"&lt;text&gt;"&amp;BJ78&amp;"&lt;/text&gt;"&amp;IF(ISBLANK(BL78),"",CHAR(13)&amp;CHAR(9)&amp;CHAR(9)&amp;CHAR(9)&amp;"&lt;attack&gt;"&amp;BL78&amp;"|"&amp;BM78&amp;"|"&amp;BN78&amp;"&lt;/attack&gt;")&amp;CHAR(13)&amp;CHAR(9)&amp;CHAR(9)&amp;"&lt;/"&amp;BI78&amp;"&gt;")</f>
        <v>_x000D_		&lt;action&gt;_x000D_			&lt;name&gt;Bite&lt;/name&gt;_x000D_			&lt;text&gt;Melee Weapon Attack: +5 to hit, reach 5 ft., one target. Hit: 1 piercing damage.&lt;/text&gt;_x000D_			&lt;attack&gt;Bite|5|1&lt;/attack&gt;_x000D_		&lt;/action&gt;</v>
      </c>
      <c r="I78" s="3" t="str">
        <f>IF(ISBLANK(BO78),"",CHAR(13)&amp;CHAR(9)&amp;CHAR(9)&amp;"&lt;"&amp;BP78&amp;"&gt;"&amp;CHAR(13)&amp;CHAR(9)&amp;CHAR(9)&amp;CHAR(9)&amp;"&lt;name&gt;"&amp;BO78&amp;"&lt;/name&gt;"&amp;CHAR(13)&amp;CHAR(9)&amp;CHAR(9)&amp;CHAR(9)&amp;"&lt;text&gt;"&amp;BQ78&amp;"&lt;/text&gt;"&amp;IF(ISBLANK(BS78),"",CHAR(13)&amp;CHAR(9)&amp;CHAR(9)&amp;CHAR(9)&amp;"&lt;attack&gt;"&amp;BS78&amp;"|"&amp;BT78&amp;"|"&amp;BU78&amp;"&lt;/attack&gt;")&amp;CHAR(13)&amp;CHAR(9)&amp;CHAR(9)&amp;"&lt;/"&amp;BP78&amp;"&gt;")</f>
        <v/>
      </c>
      <c r="J78" s="3" t="str">
        <f>IF(ISBLANK(BV78),"",CHAR(13)&amp;CHAR(9)&amp;CHAR(9)&amp;"&lt;"&amp;BW78&amp;"&gt;"&amp;CHAR(13)&amp;CHAR(9)&amp;CHAR(9)&amp;CHAR(9)&amp;"&lt;name&gt;"&amp;BV78&amp;"&lt;/name&gt;"&amp;CHAR(13)&amp;CHAR(9)&amp;CHAR(9)&amp;CHAR(9)&amp;"&lt;text&gt;"&amp;BX78&amp;"&lt;/text&gt;"&amp;IF(ISBLANK(BZ78),"",CHAR(13)&amp;CHAR(9)&amp;CHAR(9)&amp;CHAR(9)&amp;"&lt;attack&gt;"&amp;BZ78&amp;"|"&amp;CA78&amp;"|"&amp;CB78&amp;"&lt;/attack&gt;")&amp;CHAR(13)&amp;CHAR(9)&amp;CHAR(9)&amp;"&lt;/"&amp;BW78&amp;"&gt;")</f>
        <v/>
      </c>
      <c r="K78" s="3" t="str">
        <f>IF(ISBLANK(CC78),"",CHAR(13)&amp;CHAR(9)&amp;CHAR(9)&amp;"&lt;"&amp;CD78&amp;"&gt;"&amp;CHAR(13)&amp;CHAR(9)&amp;CHAR(9)&amp;CHAR(9)&amp;"&lt;name&gt;"&amp;CC78&amp;"&lt;/name&gt;"&amp;CHAR(13)&amp;CHAR(9)&amp;CHAR(9)&amp;CHAR(9)&amp;"&lt;text&gt;"&amp;CE78&amp;"&lt;/text&gt;"&amp;IF(ISBLANK(CG78),"",CHAR(13)&amp;CHAR(9)&amp;CHAR(9)&amp;CHAR(9)&amp;"&lt;attack&gt;"&amp;CG78&amp;"|"&amp;CH78&amp;"|"&amp;CI78&amp;"&lt;/attack&gt;")&amp;CHAR(13)&amp;CHAR(9)&amp;CHAR(9)&amp;"&lt;/"&amp;CD78&amp;"&gt;")</f>
        <v/>
      </c>
      <c r="L78" s="1" t="s">
        <v>62</v>
      </c>
      <c r="M78" s="1" t="s">
        <v>275</v>
      </c>
      <c r="N78" s="1">
        <f>DruidAlignment</f>
        <v>0</v>
      </c>
      <c r="O78" s="2">
        <v>0</v>
      </c>
      <c r="P78" s="1" t="s">
        <v>0</v>
      </c>
      <c r="Q78" s="1">
        <v>13</v>
      </c>
      <c r="R78" s="1"/>
      <c r="S78" s="1">
        <v>1</v>
      </c>
      <c r="T78" s="1">
        <v>0</v>
      </c>
      <c r="X78" s="1">
        <v>40</v>
      </c>
      <c r="Y78" s="1">
        <v>2</v>
      </c>
      <c r="Z78" s="1">
        <v>16</v>
      </c>
      <c r="AA78" s="1">
        <v>9</v>
      </c>
      <c r="AB78" s="10">
        <f>DruidInt</f>
        <v>0</v>
      </c>
      <c r="AC78" s="10">
        <f>DruidWis</f>
        <v>0</v>
      </c>
      <c r="AD78" s="10">
        <f>DruidCha</f>
        <v>0</v>
      </c>
      <c r="AE78" s="12"/>
      <c r="AF78" s="12"/>
      <c r="AG78" s="12"/>
      <c r="AH78" s="12" t="s">
        <v>173</v>
      </c>
      <c r="AI78" s="12" t="str">
        <f>IF(ISBLANK(DruidAcrobatics),"",", Acrobatics +"&amp;DruidAcrobatics)&amp;IF(ISBLANK(DruidAnimalHandling),"",", Animal Handling +"&amp;DruidAnimalHandling)&amp;IF(ISBLANK(DruidArcana),"",", Arcana +"&amp;DruidArcana)&amp;IF(DruidAthletics+AE78=0,"",", Athletics +"&amp;MAX(DruidAthletics,AE78))&amp;IF(ISBLANK(DruidDeception),"",",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+"&amp;DruidNature)&amp;IF(DruidPerception+AF78=0,"",", Perception +"&amp;MAX(DruidPerception,AF78))&amp;IF(ISBLANK(DruidPerformance),"",", Performance +"&amp;DruidPerformance)&amp;IF(ISBLANK(DruidPersuasion),"",", Persuasion +"&amp;DruidPersuasion)&amp;IF(ISBLANK(DruidReligion),"",", Religion +"&amp;DruidReligion)&amp;IF(ISBLANK(DruidSleightofHand),"",", Sleight of Hand +"&amp;DruidSleightofHand)&amp;IF(DruidStealth+AG78=0,"",", Stealth +"&amp;MAX(DruidStealth,AG78))&amp;IF(ISBLANK(DruidSurvival),"",", Survival +"&amp;DruidSurvival)</f>
        <v/>
      </c>
      <c r="AJ78" s="1" t="e">
        <f>RIGHT(AI78,LEN(AI78)-2)</f>
        <v>#VALUE!</v>
      </c>
      <c r="AK7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8" s="1" t="s">
        <v>173</v>
      </c>
      <c r="AM78" s="3" t="s">
        <v>176</v>
      </c>
      <c r="AN78" s="3">
        <f>IF(DruidPerception+AF78=0,10+(ROUNDDOWN((AC78-10)/2,0)),10+MAX(DruidPerception,AF78))</f>
        <v>5</v>
      </c>
      <c r="AO78" s="1"/>
      <c r="AP78" s="1"/>
      <c r="AQ78" s="1"/>
      <c r="AR78" s="1"/>
      <c r="AS78" s="1"/>
      <c r="AT78" s="3" t="s">
        <v>320</v>
      </c>
      <c r="AU78" s="3" t="s">
        <v>148</v>
      </c>
      <c r="AV78" s="3" t="s">
        <v>498</v>
      </c>
      <c r="AW78" s="3" t="s">
        <v>173</v>
      </c>
      <c r="AZ78" s="3"/>
      <c r="BA78" s="3" t="s">
        <v>64</v>
      </c>
      <c r="BB78" s="3" t="s">
        <v>148</v>
      </c>
      <c r="BC78" s="3" t="s">
        <v>379</v>
      </c>
      <c r="BD78" s="3" t="s">
        <v>173</v>
      </c>
      <c r="BG78" s="3"/>
      <c r="BH78" s="3" t="s">
        <v>161</v>
      </c>
      <c r="BI78" s="3" t="s">
        <v>150</v>
      </c>
      <c r="BJ78" s="3" t="s">
        <v>380</v>
      </c>
      <c r="BK78" s="3" t="s">
        <v>173</v>
      </c>
      <c r="BL78" s="3" t="s">
        <v>161</v>
      </c>
      <c r="BM78" s="3">
        <v>5</v>
      </c>
      <c r="BN78" s="3">
        <v>1</v>
      </c>
      <c r="BR78" s="3" t="s">
        <v>173</v>
      </c>
      <c r="BY78" s="3" t="s">
        <v>173</v>
      </c>
      <c r="CJ78" s="6">
        <v>0</v>
      </c>
      <c r="CK78" s="6">
        <f>IF(CJ78&lt;0.26,2,IF(CJ78&lt;0.51,4,IF(CJ78&lt;1.1,8,99)))</f>
        <v>2</v>
      </c>
      <c r="CL78" s="3">
        <f>IF(M78="Elemental",10,IF(CJ78&lt;2,2,CJ78*3))</f>
        <v>2</v>
      </c>
      <c r="CM78" s="3">
        <f>IF(W78&gt;0,8,0)</f>
        <v>0</v>
      </c>
      <c r="CN78" s="3">
        <f>IF(X78&gt;0,4,0)</f>
        <v>4</v>
      </c>
    </row>
    <row r="79" spans="1:92">
      <c r="A79" s="3" t="str">
        <f>IF(DruidLevel&lt;B79,"",CHAR(9)&amp;"&lt;monster&gt;"&amp;CHAR(13)&amp;CHAR(9)&amp;CHAR(9)&amp;"&lt;name&gt;"&amp;L79&amp;" (Wild Shape)&lt;/name&gt;"&amp;CHAR(13)&amp;CHAR(9)&amp;CHAR(9)&amp;"&lt;size&gt;"&amp;LEFT(P79,1)&amp;"&lt;/size&gt;"&amp;CHAR(13)&amp;CHAR(9)&amp;CHAR(9)&amp;"&lt;type&gt;"&amp;M79&amp;"&lt;/type&gt;"&amp;CHAR(13)&amp;CHAR(9)&amp;CHAR(9)&amp;"&lt;alignment&gt;"&amp;N79&amp;"&lt;/alignment&gt;"&amp;CHAR(13)&amp;CHAR(9)&amp;CHAR(9)&amp;"&lt;ac&gt;"&amp;Q79&amp;IF(ISBLANK(R79),""," ("&amp;R79&amp;")")&amp;"&lt;/ac&gt;"&amp;CHAR(13)&amp;CHAR(9)&amp;CHAR(9)&amp;"&lt;hp&gt;"&amp;S79&amp;"&lt;/hp&gt;"&amp;CHAR(13)&amp;CHAR(9)&amp;CHAR(9)&amp;"&lt;speed&gt;"&amp;E79&amp;"&lt;/speed&gt;"&amp;CHAR(13)&amp;CHAR(9)&amp;CHAR(9)&amp;"&lt;str&gt;"&amp;Y79&amp;"&lt;/str&gt;&lt;dex&gt;"&amp;Z79&amp;"&lt;/dex&gt;&lt;con&gt;"&amp;AA79&amp;"&lt;/con&gt;&lt;int&gt;"&amp;AB79&amp;"&lt;/int&gt;&lt;wis&gt;"&amp;AC79&amp;"&lt;/wis&gt;&lt;cha&gt;"&amp;AD79&amp;"&lt;/cha&gt;"&amp;CHAR(13)&amp;CHAR(9)&amp;CHAR(9)&amp;"&lt;save&gt;"&amp;AK79&amp;"&lt;/save&gt;"&amp;CHAR(13)&amp;CHAR(9)&amp;CHAR(9)&amp;"&lt;skill&gt;"&amp;AJ79&amp;"&lt;/skill&gt;"&amp;CHAR(13)&amp;CHAR(9)&amp;CHAR(9)&amp;"&lt;vulnerable&gt;"&amp;AO79&amp;"&lt;/vulnerable&gt;"&amp;CHAR(13)&amp;CHAR(9)&amp;CHAR(9)&amp;"&lt;resist&gt;"&amp;AP79&amp;"&lt;/resist&gt;"&amp;CHAR(13)&amp;CHAR(9)&amp;CHAR(9)&amp;"&lt;immune&gt;"&amp;AQ79&amp;"&lt;/immune&gt;"&amp;CHAR(13)&amp;CHAR(9)&amp;CHAR(9)&amp;"&lt;conditionImmune&gt;"&amp;AR79&amp;"&lt;/conditionImmune&gt;"&amp;CHAR(13)&amp;CHAR(9)&amp;CHAR(9)&amp;"&lt;senses&gt;"&amp;AM79&amp;"&lt;/senses&gt;"&amp;CHAR(13)&amp;CHAR(9)&amp;CHAR(9)&amp;"&lt;passive&gt;"&amp;AN79&amp;"&lt;/passive&gt;"&amp;CHAR(13)&amp;CHAR(9)&amp;CHAR(9)&amp;"&lt;languages&gt;"&amp;AS79&amp;"&lt;/languages&gt;"&amp;CHAR(13)&amp;CHAR(9)&amp;CHAR(9)&amp;"&lt;cr&gt;"&amp;O79&amp;"&lt;/cr&gt;"&amp;F79&amp;G79&amp;H79&amp;I79&amp;J79&amp;K79&amp;IF(C79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79" s="3">
        <f>IF(COTM=TRUE,MAX(CL79,CM79,CN79),MAX(CK79,CM79,CN79))</f>
        <v>2</v>
      </c>
      <c r="C79" s="11" t="str">
        <f>IF(COTM=FALSE,"",IF(DruidLevel&gt;5,"Y",""))</f>
        <v/>
      </c>
      <c r="D79" s="3" t="s">
        <v>173</v>
      </c>
      <c r="E79" s="3" t="str">
        <f>T79&amp;" ft."&amp;IF(U79+V79+W79+X79=0,"",", ")&amp;IF(ISBLANK(U79),"","burrow "&amp;U79&amp;" ft."&amp;IF(V79+W79+X79=0,"",", "))&amp;IF(ISBLANK(V79),"","climb "&amp;V79&amp;" ft."&amp;IF(W79+X79=0,"",", "))&amp;IF(ISBLANK(W79),"","fly "&amp;W79&amp;" ft."&amp;IF(X79=0,"",", "))&amp;IF(ISBLANK(X79),"","swim "&amp;X79&amp;" ft.")</f>
        <v>20 ft.</v>
      </c>
      <c r="F79" s="3" t="str">
        <f>IF(ISBLANK(AT79),"",CHAR(13)&amp;CHAR(9)&amp;CHAR(9)&amp;"&lt;"&amp;AU79&amp;"&gt;"&amp;CHAR(13)&amp;CHAR(9)&amp;CHAR(9)&amp;CHAR(9)&amp;"&lt;name&gt;"&amp;AT79&amp;"&lt;/name&gt;"&amp;CHAR(13)&amp;CHAR(9)&amp;CHAR(9)&amp;CHAR(9)&amp;"&lt;text&gt;"&amp;AV79&amp;"&lt;/text&gt;"&amp;IF(ISBLANK(AX79),"",CHAR(13)&amp;CHAR(9)&amp;CHAR(9)&amp;CHAR(9)&amp;"&lt;attack&gt;"&amp;AX79&amp;"|"&amp;AY79&amp;"|"&amp;AZ79&amp;"&lt;/attack&gt;")&amp;CHAR(13)&amp;CHAR(9)&amp;CHAR(9)&amp;"&lt;/"&amp;AU79&amp;"&gt;")</f>
        <v>_x000D_		&lt;trait&gt;_x000D_			&lt;name&gt;Keen Smell&lt;/name&gt;_x000D_			&lt;text&gt;The rat has advantage on Wisdom (Perception) checks that rely on smell.&lt;/text&gt;_x000D_		&lt;/trait&gt;</v>
      </c>
      <c r="G79" s="3" t="str">
        <f>IF(ISBLANK(BA79),"",CHAR(13)&amp;CHAR(9)&amp;CHAR(9)&amp;"&lt;"&amp;BB79&amp;"&gt;"&amp;CHAR(13)&amp;CHAR(9)&amp;CHAR(9)&amp;CHAR(9)&amp;"&lt;name&gt;"&amp;BA79&amp;"&lt;/name&gt;"&amp;CHAR(13)&amp;CHAR(9)&amp;CHAR(9)&amp;CHAR(9)&amp;"&lt;text&gt;"&amp;BC79&amp;"&lt;/text&gt;"&amp;IF(ISBLANK(BE79),"",CHAR(13)&amp;CHAR(9)&amp;CHAR(9)&amp;CHAR(9)&amp;"&lt;attack&gt;"&amp;BE79&amp;"|"&amp;BF79&amp;"|"&amp;BG79&amp;"&lt;/attack&gt;")&amp;CHAR(13)&amp;CHAR(9)&amp;CHAR(9)&amp;"&lt;/"&amp;BB79&amp;"&gt;")</f>
        <v>_x000D_		&lt;action&gt;_x000D_			&lt;name&gt;Bite&lt;/name&gt;_x000D_			&lt;text&gt;Melee Weapon Attack: +0 to hit, reach 5 ft., one target. Hit: 1 piercing damage.&lt;/text&gt;_x000D_			&lt;attack&gt;Bite|0|1&lt;/attack&gt;_x000D_		&lt;/action&gt;</v>
      </c>
      <c r="H79" s="3" t="str">
        <f>IF(ISBLANK(BH79),"",CHAR(13)&amp;CHAR(9)&amp;CHAR(9)&amp;"&lt;"&amp;BI79&amp;"&gt;"&amp;CHAR(13)&amp;CHAR(9)&amp;CHAR(9)&amp;CHAR(9)&amp;"&lt;name&gt;"&amp;BH79&amp;"&lt;/name&gt;"&amp;CHAR(13)&amp;CHAR(9)&amp;CHAR(9)&amp;CHAR(9)&amp;"&lt;text&gt;"&amp;BJ79&amp;"&lt;/text&gt;"&amp;IF(ISBLANK(BL79),"",CHAR(13)&amp;CHAR(9)&amp;CHAR(9)&amp;CHAR(9)&amp;"&lt;attack&gt;"&amp;BL79&amp;"|"&amp;BM79&amp;"|"&amp;BN79&amp;"&lt;/attack&gt;")&amp;CHAR(13)&amp;CHAR(9)&amp;CHAR(9)&amp;"&lt;/"&amp;BI79&amp;"&gt;")</f>
        <v/>
      </c>
      <c r="I79" s="3" t="str">
        <f>IF(ISBLANK(BO79),"",CHAR(13)&amp;CHAR(9)&amp;CHAR(9)&amp;"&lt;"&amp;BP79&amp;"&gt;"&amp;CHAR(13)&amp;CHAR(9)&amp;CHAR(9)&amp;CHAR(9)&amp;"&lt;name&gt;"&amp;BO79&amp;"&lt;/name&gt;"&amp;CHAR(13)&amp;CHAR(9)&amp;CHAR(9)&amp;CHAR(9)&amp;"&lt;text&gt;"&amp;BQ79&amp;"&lt;/text&gt;"&amp;IF(ISBLANK(BS79),"",CHAR(13)&amp;CHAR(9)&amp;CHAR(9)&amp;CHAR(9)&amp;"&lt;attack&gt;"&amp;BS79&amp;"|"&amp;BT79&amp;"|"&amp;BU79&amp;"&lt;/attack&gt;")&amp;CHAR(13)&amp;CHAR(9)&amp;CHAR(9)&amp;"&lt;/"&amp;BP79&amp;"&gt;")</f>
        <v/>
      </c>
      <c r="J79" s="3" t="str">
        <f>IF(ISBLANK(BV79),"",CHAR(13)&amp;CHAR(9)&amp;CHAR(9)&amp;"&lt;"&amp;BW79&amp;"&gt;"&amp;CHAR(13)&amp;CHAR(9)&amp;CHAR(9)&amp;CHAR(9)&amp;"&lt;name&gt;"&amp;BV79&amp;"&lt;/name&gt;"&amp;CHAR(13)&amp;CHAR(9)&amp;CHAR(9)&amp;CHAR(9)&amp;"&lt;text&gt;"&amp;BX79&amp;"&lt;/text&gt;"&amp;IF(ISBLANK(BZ79),"",CHAR(13)&amp;CHAR(9)&amp;CHAR(9)&amp;CHAR(9)&amp;"&lt;attack&gt;"&amp;BZ79&amp;"|"&amp;CA79&amp;"|"&amp;CB79&amp;"&lt;/attack&gt;")&amp;CHAR(13)&amp;CHAR(9)&amp;CHAR(9)&amp;"&lt;/"&amp;BW79&amp;"&gt;")</f>
        <v/>
      </c>
      <c r="K79" s="3" t="str">
        <f>IF(ISBLANK(CC79),"",CHAR(13)&amp;CHAR(9)&amp;CHAR(9)&amp;"&lt;"&amp;CD79&amp;"&gt;"&amp;CHAR(13)&amp;CHAR(9)&amp;CHAR(9)&amp;CHAR(9)&amp;"&lt;name&gt;"&amp;CC79&amp;"&lt;/name&gt;"&amp;CHAR(13)&amp;CHAR(9)&amp;CHAR(9)&amp;CHAR(9)&amp;"&lt;text&gt;"&amp;CE79&amp;"&lt;/text&gt;"&amp;IF(ISBLANK(CG79),"",CHAR(13)&amp;CHAR(9)&amp;CHAR(9)&amp;CHAR(9)&amp;"&lt;attack&gt;"&amp;CG79&amp;"|"&amp;CH79&amp;"|"&amp;CI79&amp;"&lt;/attack&gt;")&amp;CHAR(13)&amp;CHAR(9)&amp;CHAR(9)&amp;"&lt;/"&amp;CD79&amp;"&gt;")</f>
        <v/>
      </c>
      <c r="L79" s="1" t="s">
        <v>24</v>
      </c>
      <c r="M79" s="1" t="s">
        <v>275</v>
      </c>
      <c r="N79" s="1">
        <f>DruidAlignment</f>
        <v>0</v>
      </c>
      <c r="O79" s="2">
        <v>0</v>
      </c>
      <c r="P79" s="1" t="s">
        <v>0</v>
      </c>
      <c r="Q79" s="1">
        <v>10</v>
      </c>
      <c r="R79" s="1"/>
      <c r="S79" s="1">
        <v>1</v>
      </c>
      <c r="T79" s="1">
        <v>20</v>
      </c>
      <c r="Y79" s="1">
        <v>2</v>
      </c>
      <c r="Z79" s="1">
        <v>11</v>
      </c>
      <c r="AA79" s="1">
        <v>9</v>
      </c>
      <c r="AB79" s="10">
        <f>DruidInt</f>
        <v>0</v>
      </c>
      <c r="AC79" s="10">
        <f>DruidWis</f>
        <v>0</v>
      </c>
      <c r="AD79" s="10">
        <f>DruidCha</f>
        <v>0</v>
      </c>
      <c r="AE79" s="12"/>
      <c r="AF79" s="12">
        <v>4</v>
      </c>
      <c r="AG79" s="12"/>
      <c r="AH79" s="12" t="s">
        <v>173</v>
      </c>
      <c r="AI79" s="12" t="str">
        <f>IF(ISBLANK(DruidAcrobatics),"",", Acrobatics +"&amp;DruidAcrobatics)&amp;IF(ISBLANK(DruidAnimalHandling),"",", Animal Handling +"&amp;DruidAnimalHandling)&amp;IF(ISBLANK(DruidArcana),"",", Arcana +"&amp;DruidArcana)&amp;IF(DruidAthletics+AE79=0,"",", Athletics +"&amp;MAX(DruidAthletics,AE79))&amp;IF(ISBLANK(DruidDeception),"",",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+"&amp;DruidNature)&amp;IF(DruidPerception+AF79=0,"",", Perception +"&amp;MAX(DruidPerception,AF79))&amp;IF(ISBLANK(DruidPerformance),"",", Performance +"&amp;DruidPerformance)&amp;IF(ISBLANK(DruidPersuasion),"",", Persuasion +"&amp;DruidPersuasion)&amp;IF(ISBLANK(DruidReligion),"",", Religion +"&amp;DruidReligion)&amp;IF(ISBLANK(DruidSleightofHand),"",", Sleight of Hand +"&amp;DruidSleightofHand)&amp;IF(DruidStealth+AG79=0,"",", Stealth +"&amp;MAX(DruidStealth,AG79))&amp;IF(ISBLANK(DruidSurvival),"",", Survival +"&amp;DruidSurvival)</f>
        <v>, Perception +4</v>
      </c>
      <c r="AJ79" s="1" t="str">
        <f>RIGHT(AI79,LEN(AI79)-2)</f>
        <v>Perception +4</v>
      </c>
      <c r="AK7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79" s="1" t="s">
        <v>173</v>
      </c>
      <c r="AM79" s="1" t="s">
        <v>178</v>
      </c>
      <c r="AN79" s="3">
        <f>IF(DruidPerception+AF79=0,10+(ROUNDDOWN((AC79-10)/2,0)),10+MAX(DruidPerception,AF79))</f>
        <v>14</v>
      </c>
      <c r="AO79" s="1"/>
      <c r="AP79" s="1"/>
      <c r="AQ79" s="1"/>
      <c r="AR79" s="1"/>
      <c r="AS79" s="1"/>
      <c r="AT79" s="3" t="s">
        <v>14</v>
      </c>
      <c r="AU79" s="3" t="s">
        <v>148</v>
      </c>
      <c r="AV79" s="3" t="s">
        <v>313</v>
      </c>
      <c r="AW79" s="3" t="s">
        <v>173</v>
      </c>
      <c r="AZ79" s="3"/>
      <c r="BA79" s="3" t="s">
        <v>161</v>
      </c>
      <c r="BB79" s="3" t="s">
        <v>150</v>
      </c>
      <c r="BC79" s="3" t="s">
        <v>356</v>
      </c>
      <c r="BD79" s="3" t="s">
        <v>173</v>
      </c>
      <c r="BE79" s="3" t="s">
        <v>161</v>
      </c>
      <c r="BF79" s="3">
        <v>0</v>
      </c>
      <c r="BG79" s="3">
        <v>1</v>
      </c>
      <c r="BK79" s="3" t="s">
        <v>173</v>
      </c>
      <c r="BN79" s="3"/>
      <c r="BR79" s="3" t="s">
        <v>173</v>
      </c>
      <c r="BY79" s="3" t="s">
        <v>173</v>
      </c>
      <c r="CJ79" s="6">
        <v>0</v>
      </c>
      <c r="CK79" s="6">
        <f>IF(CJ79&lt;0.26,2,IF(CJ79&lt;0.51,4,IF(CJ79&lt;1.1,8,99)))</f>
        <v>2</v>
      </c>
      <c r="CL79" s="3">
        <f>IF(M79="Elemental",10,IF(CJ79&lt;2,2,CJ79*3))</f>
        <v>2</v>
      </c>
      <c r="CM79" s="3">
        <f>IF(W79&gt;0,8,0)</f>
        <v>0</v>
      </c>
      <c r="CN79" s="3">
        <f>IF(X79&gt;0,4,0)</f>
        <v>0</v>
      </c>
    </row>
    <row r="80" spans="1:92">
      <c r="A80" s="3" t="str">
        <f>IF(DruidLevel&lt;B80,"",CHAR(9)&amp;"&lt;monster&gt;"&amp;CHAR(13)&amp;CHAR(9)&amp;CHAR(9)&amp;"&lt;name&gt;"&amp;L80&amp;" (Wild Shape)&lt;/name&gt;"&amp;CHAR(13)&amp;CHAR(9)&amp;CHAR(9)&amp;"&lt;size&gt;"&amp;LEFT(P80,1)&amp;"&lt;/size&gt;"&amp;CHAR(13)&amp;CHAR(9)&amp;CHAR(9)&amp;"&lt;type&gt;"&amp;M80&amp;"&lt;/type&gt;"&amp;CHAR(13)&amp;CHAR(9)&amp;CHAR(9)&amp;"&lt;alignment&gt;"&amp;N80&amp;"&lt;/alignment&gt;"&amp;CHAR(13)&amp;CHAR(9)&amp;CHAR(9)&amp;"&lt;ac&gt;"&amp;Q80&amp;IF(ISBLANK(R80),""," ("&amp;R80&amp;")")&amp;"&lt;/ac&gt;"&amp;CHAR(13)&amp;CHAR(9)&amp;CHAR(9)&amp;"&lt;hp&gt;"&amp;S80&amp;"&lt;/hp&gt;"&amp;CHAR(13)&amp;CHAR(9)&amp;CHAR(9)&amp;"&lt;speed&gt;"&amp;E80&amp;"&lt;/speed&gt;"&amp;CHAR(13)&amp;CHAR(9)&amp;CHAR(9)&amp;"&lt;str&gt;"&amp;Y80&amp;"&lt;/str&gt;&lt;dex&gt;"&amp;Z80&amp;"&lt;/dex&gt;&lt;con&gt;"&amp;AA80&amp;"&lt;/con&gt;&lt;int&gt;"&amp;AB80&amp;"&lt;/int&gt;&lt;wis&gt;"&amp;AC80&amp;"&lt;/wis&gt;&lt;cha&gt;"&amp;AD80&amp;"&lt;/cha&gt;"&amp;CHAR(13)&amp;CHAR(9)&amp;CHAR(9)&amp;"&lt;save&gt;"&amp;AK80&amp;"&lt;/save&gt;"&amp;CHAR(13)&amp;CHAR(9)&amp;CHAR(9)&amp;"&lt;skill&gt;"&amp;AJ80&amp;"&lt;/skill&gt;"&amp;CHAR(13)&amp;CHAR(9)&amp;CHAR(9)&amp;"&lt;vulnerable&gt;"&amp;AO80&amp;"&lt;/vulnerable&gt;"&amp;CHAR(13)&amp;CHAR(9)&amp;CHAR(9)&amp;"&lt;resist&gt;"&amp;AP80&amp;"&lt;/resist&gt;"&amp;CHAR(13)&amp;CHAR(9)&amp;CHAR(9)&amp;"&lt;immune&gt;"&amp;AQ80&amp;"&lt;/immune&gt;"&amp;CHAR(13)&amp;CHAR(9)&amp;CHAR(9)&amp;"&lt;conditionImmune&gt;"&amp;AR80&amp;"&lt;/conditionImmune&gt;"&amp;CHAR(13)&amp;CHAR(9)&amp;CHAR(9)&amp;"&lt;senses&gt;"&amp;AM80&amp;"&lt;/senses&gt;"&amp;CHAR(13)&amp;CHAR(9)&amp;CHAR(9)&amp;"&lt;passive&gt;"&amp;AN80&amp;"&lt;/passive&gt;"&amp;CHAR(13)&amp;CHAR(9)&amp;CHAR(9)&amp;"&lt;languages&gt;"&amp;AS80&amp;"&lt;/languages&gt;"&amp;CHAR(13)&amp;CHAR(9)&amp;CHAR(9)&amp;"&lt;cr&gt;"&amp;O80&amp;"&lt;/cr&gt;"&amp;F80&amp;G80&amp;H80&amp;I80&amp;J80&amp;K80&amp;IF(C80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0" s="3">
        <f>IF(COTM=TRUE,MAX(CL80,CM80,CN80),MAX(CK80,CM80,CN80))</f>
        <v>8</v>
      </c>
      <c r="C80" s="11" t="str">
        <f>IF(COTM=FALSE,"",IF(DruidLevel&gt;5,"Y",""))</f>
        <v/>
      </c>
      <c r="D80" s="3" t="s">
        <v>173</v>
      </c>
      <c r="E80" s="3" t="str">
        <f>T80&amp;" ft."&amp;IF(U80+V80+W80+X80=0,"",", ")&amp;IF(ISBLANK(U80),"","burrow "&amp;U80&amp;" ft."&amp;IF(V80+W80+X80=0,"",", "))&amp;IF(ISBLANK(V80),"","climb "&amp;V80&amp;" ft."&amp;IF(W80+X80=0,"",", "))&amp;IF(ISBLANK(W80),"","fly "&amp;W80&amp;" ft."&amp;IF(X80=0,"",", "))&amp;IF(ISBLANK(X80),"","swim "&amp;X80&amp;" ft.")</f>
        <v>10 ft., fly 50 ft.</v>
      </c>
      <c r="F80" s="3" t="str">
        <f>IF(ISBLANK(AT80),"",CHAR(13)&amp;CHAR(9)&amp;CHAR(9)&amp;"&lt;"&amp;AU80&amp;"&gt;"&amp;CHAR(13)&amp;CHAR(9)&amp;CHAR(9)&amp;CHAR(9)&amp;"&lt;name&gt;"&amp;AT80&amp;"&lt;/name&gt;"&amp;CHAR(13)&amp;CHAR(9)&amp;CHAR(9)&amp;CHAR(9)&amp;"&lt;text&gt;"&amp;AV80&amp;"&lt;/text&gt;"&amp;IF(ISBLANK(AX80),"",CHAR(13)&amp;CHAR(9)&amp;CHAR(9)&amp;CHAR(9)&amp;"&lt;attack&gt;"&amp;AX80&amp;"|"&amp;AY80&amp;"|"&amp;AZ80&amp;"&lt;/attack&gt;")&amp;CHAR(13)&amp;CHAR(9)&amp;CHAR(9)&amp;"&lt;/"&amp;AU80&amp;"&gt;")</f>
        <v>_x000D_		&lt;trait&gt;_x000D_			&lt;name&gt;Mimicry&lt;/name&gt;_x000D_			&lt;text&gt;The raven can mimic simple sounds it has heard, such as a person whispering, a baby crying, or an animal chittering. A creature that hears the sounds can tell they are imitations with a successful DC 10 Wisdom (Insight) check.&lt;/text&gt;_x000D_		&lt;/trait&gt;</v>
      </c>
      <c r="G80" s="3" t="str">
        <f>IF(ISBLANK(BA80),"",CHAR(13)&amp;CHAR(9)&amp;CHAR(9)&amp;"&lt;"&amp;BB80&amp;"&gt;"&amp;CHAR(13)&amp;CHAR(9)&amp;CHAR(9)&amp;CHAR(9)&amp;"&lt;name&gt;"&amp;BA80&amp;"&lt;/name&gt;"&amp;CHAR(13)&amp;CHAR(9)&amp;CHAR(9)&amp;CHAR(9)&amp;"&lt;text&gt;"&amp;BC80&amp;"&lt;/text&gt;"&amp;IF(ISBLANK(BE80),"",CHAR(13)&amp;CHAR(9)&amp;CHAR(9)&amp;CHAR(9)&amp;"&lt;attack&gt;"&amp;BE80&amp;"|"&amp;BF80&amp;"|"&amp;BG80&amp;"&lt;/attack&gt;")&amp;CHAR(13)&amp;CHAR(9)&amp;CHAR(9)&amp;"&lt;/"&amp;BB80&amp;"&gt;")</f>
        <v>_x000D_		&lt;action&gt;_x000D_			&lt;name&gt;Beak&lt;/name&gt;_x000D_			&lt;text&gt;Melee Weapon Attack: +4 to hit, reach 5 ft., one target. Hit: 1 piercing damage.&lt;/text&gt;_x000D_		&lt;/action&gt;</v>
      </c>
      <c r="H80" s="3" t="str">
        <f>IF(ISBLANK(BH80),"",CHAR(13)&amp;CHAR(9)&amp;CHAR(9)&amp;"&lt;"&amp;BI80&amp;"&gt;"&amp;CHAR(13)&amp;CHAR(9)&amp;CHAR(9)&amp;CHAR(9)&amp;"&lt;name&gt;"&amp;BH80&amp;"&lt;/name&gt;"&amp;CHAR(13)&amp;CHAR(9)&amp;CHAR(9)&amp;CHAR(9)&amp;"&lt;text&gt;"&amp;BJ80&amp;"&lt;/text&gt;"&amp;IF(ISBLANK(BL80),"",CHAR(13)&amp;CHAR(9)&amp;CHAR(9)&amp;CHAR(9)&amp;"&lt;attack&gt;"&amp;BL80&amp;"|"&amp;BM80&amp;"|"&amp;BN80&amp;"&lt;/attack&gt;")&amp;CHAR(13)&amp;CHAR(9)&amp;CHAR(9)&amp;"&lt;/"&amp;BI80&amp;"&gt;")</f>
        <v/>
      </c>
      <c r="I80" s="3" t="str">
        <f>IF(ISBLANK(BO80),"",CHAR(13)&amp;CHAR(9)&amp;CHAR(9)&amp;"&lt;"&amp;BP80&amp;"&gt;"&amp;CHAR(13)&amp;CHAR(9)&amp;CHAR(9)&amp;CHAR(9)&amp;"&lt;name&gt;"&amp;BO80&amp;"&lt;/name&gt;"&amp;CHAR(13)&amp;CHAR(9)&amp;CHAR(9)&amp;CHAR(9)&amp;"&lt;text&gt;"&amp;BQ80&amp;"&lt;/text&gt;"&amp;IF(ISBLANK(BS80),"",CHAR(13)&amp;CHAR(9)&amp;CHAR(9)&amp;CHAR(9)&amp;"&lt;attack&gt;"&amp;BS80&amp;"|"&amp;BT80&amp;"|"&amp;BU80&amp;"&lt;/attack&gt;")&amp;CHAR(13)&amp;CHAR(9)&amp;CHAR(9)&amp;"&lt;/"&amp;BP80&amp;"&gt;")</f>
        <v/>
      </c>
      <c r="J80" s="3" t="str">
        <f>IF(ISBLANK(BV80),"",CHAR(13)&amp;CHAR(9)&amp;CHAR(9)&amp;"&lt;"&amp;BW80&amp;"&gt;"&amp;CHAR(13)&amp;CHAR(9)&amp;CHAR(9)&amp;CHAR(9)&amp;"&lt;name&gt;"&amp;BV80&amp;"&lt;/name&gt;"&amp;CHAR(13)&amp;CHAR(9)&amp;CHAR(9)&amp;CHAR(9)&amp;"&lt;text&gt;"&amp;BX80&amp;"&lt;/text&gt;"&amp;IF(ISBLANK(BZ80),"",CHAR(13)&amp;CHAR(9)&amp;CHAR(9)&amp;CHAR(9)&amp;"&lt;attack&gt;"&amp;BZ80&amp;"|"&amp;CA80&amp;"|"&amp;CB80&amp;"&lt;/attack&gt;")&amp;CHAR(13)&amp;CHAR(9)&amp;CHAR(9)&amp;"&lt;/"&amp;BW80&amp;"&gt;")</f>
        <v/>
      </c>
      <c r="K80" s="3" t="str">
        <f>IF(ISBLANK(CC80),"",CHAR(13)&amp;CHAR(9)&amp;CHAR(9)&amp;"&lt;"&amp;CD80&amp;"&gt;"&amp;CHAR(13)&amp;CHAR(9)&amp;CHAR(9)&amp;CHAR(9)&amp;"&lt;name&gt;"&amp;CC80&amp;"&lt;/name&gt;"&amp;CHAR(13)&amp;CHAR(9)&amp;CHAR(9)&amp;CHAR(9)&amp;"&lt;text&gt;"&amp;CE80&amp;"&lt;/text&gt;"&amp;IF(ISBLANK(CG80),"",CHAR(13)&amp;CHAR(9)&amp;CHAR(9)&amp;CHAR(9)&amp;"&lt;attack&gt;"&amp;CG80&amp;"|"&amp;CH80&amp;"|"&amp;CI80&amp;"&lt;/attack&gt;")&amp;CHAR(13)&amp;CHAR(9)&amp;CHAR(9)&amp;"&lt;/"&amp;CD80&amp;"&gt;")</f>
        <v/>
      </c>
      <c r="L80" s="1" t="s">
        <v>91</v>
      </c>
      <c r="M80" s="1" t="s">
        <v>275</v>
      </c>
      <c r="N80" s="1">
        <f>DruidAlignment</f>
        <v>0</v>
      </c>
      <c r="O80" s="2">
        <v>0</v>
      </c>
      <c r="P80" s="1" t="s">
        <v>0</v>
      </c>
      <c r="Q80" s="1">
        <v>12</v>
      </c>
      <c r="R80" s="1"/>
      <c r="S80" s="1">
        <v>1</v>
      </c>
      <c r="T80" s="1">
        <v>10</v>
      </c>
      <c r="W80" s="1">
        <v>50</v>
      </c>
      <c r="Y80" s="1">
        <v>2</v>
      </c>
      <c r="Z80" s="1">
        <v>14</v>
      </c>
      <c r="AA80" s="1">
        <v>8</v>
      </c>
      <c r="AB80" s="10">
        <f>DruidInt</f>
        <v>0</v>
      </c>
      <c r="AC80" s="10">
        <f>DruidWis</f>
        <v>0</v>
      </c>
      <c r="AD80" s="10">
        <f>DruidCha</f>
        <v>0</v>
      </c>
      <c r="AE80" s="12"/>
      <c r="AF80" s="12"/>
      <c r="AG80" s="12"/>
      <c r="AH80" s="12" t="s">
        <v>173</v>
      </c>
      <c r="AI80" s="12" t="str">
        <f>IF(ISBLANK(DruidAcrobatics),"",", Acrobatics +"&amp;DruidAcrobatics)&amp;IF(ISBLANK(DruidAnimalHandling),"",", Animal Handling +"&amp;DruidAnimalHandling)&amp;IF(ISBLANK(DruidArcana),"",", Arcana +"&amp;DruidArcana)&amp;IF(DruidAthletics+AE80=0,"",", Athletics +"&amp;MAX(DruidAthletics,AE80))&amp;IF(ISBLANK(DruidDeception),"",",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+"&amp;DruidNature)&amp;IF(DruidPerception+AF80=0,"",", Perception +"&amp;MAX(DruidPerception,AF80))&amp;IF(ISBLANK(DruidPerformance),"",", Performance +"&amp;DruidPerformance)&amp;IF(ISBLANK(DruidPersuasion),"",", Persuasion +"&amp;DruidPersuasion)&amp;IF(ISBLANK(DruidReligion),"",", Religion +"&amp;DruidReligion)&amp;IF(ISBLANK(DruidSleightofHand),"",", Sleight of Hand +"&amp;DruidSleightofHand)&amp;IF(DruidStealth+AG80=0,"",", Stealth +"&amp;MAX(DruidStealth,AG80))&amp;IF(ISBLANK(DruidSurvival),"",", Survival +"&amp;DruidSurvival)</f>
        <v/>
      </c>
      <c r="AJ80" s="1" t="e">
        <f>RIGHT(AI80,LEN(AI80)-2)</f>
        <v>#VALUE!</v>
      </c>
      <c r="AK8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0" s="1" t="s">
        <v>173</v>
      </c>
      <c r="AN80" s="3">
        <f>IF(DruidPerception+AF80=0,10+(ROUNDDOWN((AC80-10)/2,0)),10+MAX(DruidPerception,AF80))</f>
        <v>5</v>
      </c>
      <c r="AT80" s="3" t="s">
        <v>381</v>
      </c>
      <c r="AU80" s="3" t="s">
        <v>148</v>
      </c>
      <c r="AV80" s="3" t="s">
        <v>382</v>
      </c>
      <c r="AW80" s="3" t="s">
        <v>173</v>
      </c>
      <c r="AZ80" s="3"/>
      <c r="BA80" s="3" t="s">
        <v>174</v>
      </c>
      <c r="BB80" s="3" t="s">
        <v>150</v>
      </c>
      <c r="BC80" s="3" t="s">
        <v>383</v>
      </c>
      <c r="BD80" s="3" t="s">
        <v>173</v>
      </c>
      <c r="BG80" s="3"/>
      <c r="BK80" s="3" t="s">
        <v>173</v>
      </c>
      <c r="BN80" s="3"/>
      <c r="BR80" s="3" t="s">
        <v>173</v>
      </c>
      <c r="BY80" s="3" t="s">
        <v>173</v>
      </c>
      <c r="CJ80" s="6">
        <v>0</v>
      </c>
      <c r="CK80" s="6">
        <f>IF(CJ80&lt;0.26,2,IF(CJ80&lt;0.51,4,IF(CJ80&lt;1.1,8,99)))</f>
        <v>2</v>
      </c>
      <c r="CL80" s="3">
        <f>IF(M80="Elemental",10,IF(CJ80&lt;2,2,CJ80*3))</f>
        <v>2</v>
      </c>
      <c r="CM80" s="3">
        <f>IF(W80&gt;0,8,0)</f>
        <v>8</v>
      </c>
      <c r="CN80" s="3">
        <f>IF(X80&gt;0,4,0)</f>
        <v>0</v>
      </c>
    </row>
    <row r="81" spans="1:92">
      <c r="A81" s="3" t="str">
        <f>IF(DruidLevel&lt;B81,"",CHAR(9)&amp;"&lt;monster&gt;"&amp;CHAR(13)&amp;CHAR(9)&amp;CHAR(9)&amp;"&lt;name&gt;"&amp;L81&amp;" (Wild Shape)&lt;/name&gt;"&amp;CHAR(13)&amp;CHAR(9)&amp;CHAR(9)&amp;"&lt;size&gt;"&amp;LEFT(P81,1)&amp;"&lt;/size&gt;"&amp;CHAR(13)&amp;CHAR(9)&amp;CHAR(9)&amp;"&lt;type&gt;"&amp;M81&amp;"&lt;/type&gt;"&amp;CHAR(13)&amp;CHAR(9)&amp;CHAR(9)&amp;"&lt;alignment&gt;"&amp;N81&amp;"&lt;/alignment&gt;"&amp;CHAR(13)&amp;CHAR(9)&amp;CHAR(9)&amp;"&lt;ac&gt;"&amp;Q81&amp;IF(ISBLANK(R81),""," ("&amp;R81&amp;")")&amp;"&lt;/ac&gt;"&amp;CHAR(13)&amp;CHAR(9)&amp;CHAR(9)&amp;"&lt;hp&gt;"&amp;S81&amp;"&lt;/hp&gt;"&amp;CHAR(13)&amp;CHAR(9)&amp;CHAR(9)&amp;"&lt;speed&gt;"&amp;E81&amp;"&lt;/speed&gt;"&amp;CHAR(13)&amp;CHAR(9)&amp;CHAR(9)&amp;"&lt;str&gt;"&amp;Y81&amp;"&lt;/str&gt;&lt;dex&gt;"&amp;Z81&amp;"&lt;/dex&gt;&lt;con&gt;"&amp;AA81&amp;"&lt;/con&gt;&lt;int&gt;"&amp;AB81&amp;"&lt;/int&gt;&lt;wis&gt;"&amp;AC81&amp;"&lt;/wis&gt;&lt;cha&gt;"&amp;AD81&amp;"&lt;/cha&gt;"&amp;CHAR(13)&amp;CHAR(9)&amp;CHAR(9)&amp;"&lt;save&gt;"&amp;AK81&amp;"&lt;/save&gt;"&amp;CHAR(13)&amp;CHAR(9)&amp;CHAR(9)&amp;"&lt;skill&gt;"&amp;AJ81&amp;"&lt;/skill&gt;"&amp;CHAR(13)&amp;CHAR(9)&amp;CHAR(9)&amp;"&lt;vulnerable&gt;"&amp;AO81&amp;"&lt;/vulnerable&gt;"&amp;CHAR(13)&amp;CHAR(9)&amp;CHAR(9)&amp;"&lt;resist&gt;"&amp;AP81&amp;"&lt;/resist&gt;"&amp;CHAR(13)&amp;CHAR(9)&amp;CHAR(9)&amp;"&lt;immune&gt;"&amp;AQ81&amp;"&lt;/immune&gt;"&amp;CHAR(13)&amp;CHAR(9)&amp;CHAR(9)&amp;"&lt;conditionImmune&gt;"&amp;AR81&amp;"&lt;/conditionImmune&gt;"&amp;CHAR(13)&amp;CHAR(9)&amp;CHAR(9)&amp;"&lt;senses&gt;"&amp;AM81&amp;"&lt;/senses&gt;"&amp;CHAR(13)&amp;CHAR(9)&amp;CHAR(9)&amp;"&lt;passive&gt;"&amp;AN81&amp;"&lt;/passive&gt;"&amp;CHAR(13)&amp;CHAR(9)&amp;CHAR(9)&amp;"&lt;languages&gt;"&amp;AS81&amp;"&lt;/languages&gt;"&amp;CHAR(13)&amp;CHAR(9)&amp;CHAR(9)&amp;"&lt;cr&gt;"&amp;O81&amp;"&lt;/cr&gt;"&amp;F81&amp;G81&amp;H81&amp;I81&amp;J81&amp;K81&amp;IF(C81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1" s="3">
        <f>IF(COTM=TRUE,MAX(CL81,CM81,CN81),MAX(CK81,CM81,CN81))</f>
        <v>4</v>
      </c>
      <c r="C81" s="11" t="str">
        <f>IF(COTM=FALSE,"",IF(DruidLevel&gt;5,"Y",""))</f>
        <v/>
      </c>
      <c r="D81" s="3" t="s">
        <v>173</v>
      </c>
      <c r="E81" s="3" t="str">
        <f>T81&amp;" ft."&amp;IF(U81+V81+W81+X81=0,"",", ")&amp;IF(ISBLANK(U81),"","burrow "&amp;U81&amp;" ft."&amp;IF(V81+W81+X81=0,"",", "))&amp;IF(ISBLANK(V81),"","climb "&amp;V81&amp;" ft."&amp;IF(W81+X81=0,"",", "))&amp;IF(ISBLANK(W81),"","fly "&amp;W81&amp;" ft."&amp;IF(X81=0,"",", "))&amp;IF(ISBLANK(X81),"","swim "&amp;X81&amp;" ft.")</f>
        <v>0 ft., swim 40 ft.</v>
      </c>
      <c r="F81" s="3" t="str">
        <f>IF(ISBLANK(AT81),"",CHAR(13)&amp;CHAR(9)&amp;CHAR(9)&amp;"&lt;"&amp;AU81&amp;"&gt;"&amp;CHAR(13)&amp;CHAR(9)&amp;CHAR(9)&amp;CHAR(9)&amp;"&lt;name&gt;"&amp;AT81&amp;"&lt;/name&gt;"&amp;CHAR(13)&amp;CHAR(9)&amp;CHAR(9)&amp;CHAR(9)&amp;"&lt;text&gt;"&amp;AV81&amp;"&lt;/text&gt;"&amp;IF(ISBLANK(AX81),"",CHAR(13)&amp;CHAR(9)&amp;CHAR(9)&amp;CHAR(9)&amp;"&lt;attack&gt;"&amp;AX81&amp;"|"&amp;AY81&amp;"|"&amp;AZ81&amp;"&lt;/attack&gt;")&amp;CHAR(13)&amp;CHAR(9)&amp;CHAR(9)&amp;"&lt;/"&amp;AU81&amp;"&gt;")</f>
        <v>_x000D_		&lt;trait&gt;_x000D_			&lt;name&gt;Pack Tactics&lt;/name&gt;_x000D_			&lt;text&gt;The shark has advantage on an attack roll against a creature if at least one of the shark's allies is within 5 feet of the creature and the ally isn't incapacitated.&lt;/text&gt;_x000D_		&lt;/trait&gt;</v>
      </c>
      <c r="G81" s="3" t="str">
        <f>IF(ISBLANK(BA81),"",CHAR(13)&amp;CHAR(9)&amp;CHAR(9)&amp;"&lt;"&amp;BB81&amp;"&gt;"&amp;CHAR(13)&amp;CHAR(9)&amp;CHAR(9)&amp;CHAR(9)&amp;"&lt;name&gt;"&amp;BA81&amp;"&lt;/name&gt;"&amp;CHAR(13)&amp;CHAR(9)&amp;CHAR(9)&amp;CHAR(9)&amp;"&lt;text&gt;"&amp;BC81&amp;"&lt;/text&gt;"&amp;IF(ISBLANK(BE81),"",CHAR(13)&amp;CHAR(9)&amp;CHAR(9)&amp;CHAR(9)&amp;"&lt;attack&gt;"&amp;BE81&amp;"|"&amp;BF81&amp;"|"&amp;BG81&amp;"&lt;/attack&gt;")&amp;CHAR(13)&amp;CHAR(9)&amp;CHAR(9)&amp;"&lt;/"&amp;BB81&amp;"&gt;")</f>
        <v>_x000D_		&lt;trait&gt;_x000D_			&lt;name&gt;Water Breathing&lt;/name&gt;_x000D_			&lt;text&gt;The shark can breathe only underwater.&lt;/text&gt;_x000D_		&lt;/trait&gt;</v>
      </c>
      <c r="H81" s="3" t="str">
        <f>IF(ISBLANK(BH81),"",CHAR(13)&amp;CHAR(9)&amp;CHAR(9)&amp;"&lt;"&amp;BI81&amp;"&gt;"&amp;CHAR(13)&amp;CHAR(9)&amp;CHAR(9)&amp;CHAR(9)&amp;"&lt;name&gt;"&amp;BH81&amp;"&lt;/name&gt;"&amp;CHAR(13)&amp;CHAR(9)&amp;CHAR(9)&amp;CHAR(9)&amp;"&lt;text&gt;"&amp;BJ81&amp;"&lt;/text&gt;"&amp;IF(ISBLANK(BL81),"",CHAR(13)&amp;CHAR(9)&amp;CHAR(9)&amp;CHAR(9)&amp;"&lt;attack&gt;"&amp;BL81&amp;"|"&amp;BM81&amp;"|"&amp;BN81&amp;"&lt;/attack&gt;")&amp;CHAR(13)&amp;CHAR(9)&amp;CHAR(9)&amp;"&lt;/"&amp;BI81&amp;"&gt;")</f>
        <v>_x000D_		&lt;action&gt;_x000D_			&lt;name&gt;Bite&lt;/name&gt;_x000D_			&lt;text&gt;Melee Weapon Attack: +4 to hit, reach 5 ft., one target. Hit: 6 (1d8+2) piercing damage.&lt;/text&gt;_x000D_			&lt;attack&gt;Bite|4|1d8+2&lt;/attack&gt;_x000D_		&lt;/action&gt;</v>
      </c>
      <c r="I81" s="3" t="str">
        <f>IF(ISBLANK(BO81),"",CHAR(13)&amp;CHAR(9)&amp;CHAR(9)&amp;"&lt;"&amp;BP81&amp;"&gt;"&amp;CHAR(13)&amp;CHAR(9)&amp;CHAR(9)&amp;CHAR(9)&amp;"&lt;name&gt;"&amp;BO81&amp;"&lt;/name&gt;"&amp;CHAR(13)&amp;CHAR(9)&amp;CHAR(9)&amp;CHAR(9)&amp;"&lt;text&gt;"&amp;BQ81&amp;"&lt;/text&gt;"&amp;IF(ISBLANK(BS81),"",CHAR(13)&amp;CHAR(9)&amp;CHAR(9)&amp;CHAR(9)&amp;"&lt;attack&gt;"&amp;BS81&amp;"|"&amp;BT81&amp;"|"&amp;BU81&amp;"&lt;/attack&gt;")&amp;CHAR(13)&amp;CHAR(9)&amp;CHAR(9)&amp;"&lt;/"&amp;BP81&amp;"&gt;")</f>
        <v/>
      </c>
      <c r="J81" s="3" t="str">
        <f>IF(ISBLANK(BV81),"",CHAR(13)&amp;CHAR(9)&amp;CHAR(9)&amp;"&lt;"&amp;BW81&amp;"&gt;"&amp;CHAR(13)&amp;CHAR(9)&amp;CHAR(9)&amp;CHAR(9)&amp;"&lt;name&gt;"&amp;BV81&amp;"&lt;/name&gt;"&amp;CHAR(13)&amp;CHAR(9)&amp;CHAR(9)&amp;CHAR(9)&amp;"&lt;text&gt;"&amp;BX81&amp;"&lt;/text&gt;"&amp;IF(ISBLANK(BZ81),"",CHAR(13)&amp;CHAR(9)&amp;CHAR(9)&amp;CHAR(9)&amp;"&lt;attack&gt;"&amp;BZ81&amp;"|"&amp;CA81&amp;"|"&amp;CB81&amp;"&lt;/attack&gt;")&amp;CHAR(13)&amp;CHAR(9)&amp;CHAR(9)&amp;"&lt;/"&amp;BW81&amp;"&gt;")</f>
        <v/>
      </c>
      <c r="K81" s="3" t="str">
        <f>IF(ISBLANK(CC81),"",CHAR(13)&amp;CHAR(9)&amp;CHAR(9)&amp;"&lt;"&amp;CD81&amp;"&gt;"&amp;CHAR(13)&amp;CHAR(9)&amp;CHAR(9)&amp;CHAR(9)&amp;"&lt;name&gt;"&amp;CC81&amp;"&lt;/name&gt;"&amp;CHAR(13)&amp;CHAR(9)&amp;CHAR(9)&amp;CHAR(9)&amp;"&lt;text&gt;"&amp;CE81&amp;"&lt;/text&gt;"&amp;IF(ISBLANK(CG81),"",CHAR(13)&amp;CHAR(9)&amp;CHAR(9)&amp;CHAR(9)&amp;"&lt;attack&gt;"&amp;CG81&amp;"|"&amp;CH81&amp;"|"&amp;CI81&amp;"&lt;/attack&gt;")&amp;CHAR(13)&amp;CHAR(9)&amp;CHAR(9)&amp;"&lt;/"&amp;CD81&amp;"&gt;")</f>
        <v/>
      </c>
      <c r="L81" s="1" t="s">
        <v>73</v>
      </c>
      <c r="M81" s="1" t="s">
        <v>275</v>
      </c>
      <c r="N81" s="1">
        <f>DruidAlignment</f>
        <v>0</v>
      </c>
      <c r="O81" s="2" t="s">
        <v>206</v>
      </c>
      <c r="P81" s="1" t="s">
        <v>17</v>
      </c>
      <c r="Q81" s="1">
        <v>12</v>
      </c>
      <c r="R81" s="1" t="s">
        <v>405</v>
      </c>
      <c r="S81" s="1">
        <v>22</v>
      </c>
      <c r="T81" s="1">
        <v>0</v>
      </c>
      <c r="X81" s="1">
        <v>40</v>
      </c>
      <c r="Y81" s="1">
        <v>14</v>
      </c>
      <c r="Z81" s="1">
        <v>13</v>
      </c>
      <c r="AA81" s="1">
        <v>13</v>
      </c>
      <c r="AB81" s="10">
        <f>DruidInt</f>
        <v>0</v>
      </c>
      <c r="AC81" s="10">
        <f>DruidWis</f>
        <v>0</v>
      </c>
      <c r="AD81" s="10">
        <f>DruidCha</f>
        <v>0</v>
      </c>
      <c r="AE81" s="12"/>
      <c r="AF81" s="12">
        <v>4</v>
      </c>
      <c r="AG81" s="12"/>
      <c r="AH81" s="12" t="s">
        <v>173</v>
      </c>
      <c r="AI81" s="12" t="str">
        <f>IF(ISBLANK(DruidAcrobatics),"",", Acrobatics +"&amp;DruidAcrobatics)&amp;IF(ISBLANK(DruidAnimalHandling),"",", Animal Handling +"&amp;DruidAnimalHandling)&amp;IF(ISBLANK(DruidArcana),"",", Arcana +"&amp;DruidArcana)&amp;IF(DruidAthletics+AE81=0,"",", Athletics +"&amp;MAX(DruidAthletics,AE81))&amp;IF(ISBLANK(DruidDeception),"",",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+"&amp;DruidNature)&amp;IF(DruidPerception+AF81=0,"",", Perception +"&amp;MAX(DruidPerception,AF81))&amp;IF(ISBLANK(DruidPerformance),"",", Performance +"&amp;DruidPerformance)&amp;IF(ISBLANK(DruidPersuasion),"",", Persuasion +"&amp;DruidPersuasion)&amp;IF(ISBLANK(DruidReligion),"",", Religion +"&amp;DruidReligion)&amp;IF(ISBLANK(DruidSleightofHand),"",", Sleight of Hand +"&amp;DruidSleightofHand)&amp;IF(DruidStealth+AG81=0,"",", Stealth +"&amp;MAX(DruidStealth,AG81))&amp;IF(ISBLANK(DruidSurvival),"",", Survival +"&amp;DruidSurvival)</f>
        <v>, Perception +4</v>
      </c>
      <c r="AJ81" s="1" t="str">
        <f>RIGHT(AI81,LEN(AI81)-2)</f>
        <v>Perception +4</v>
      </c>
      <c r="AK8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1" s="1" t="s">
        <v>173</v>
      </c>
      <c r="AM81" s="1" t="s">
        <v>181</v>
      </c>
      <c r="AN81" s="3">
        <f>IF(DruidPerception+AF81=0,10+(ROUNDDOWN((AC81-10)/2,0)),10+MAX(DruidPerception,AF81))</f>
        <v>14</v>
      </c>
      <c r="AO81" s="1"/>
      <c r="AP81" s="1"/>
      <c r="AQ81" s="1"/>
      <c r="AR81" s="1"/>
      <c r="AS81" s="1"/>
      <c r="AT81" s="3" t="s">
        <v>12</v>
      </c>
      <c r="AU81" s="3" t="s">
        <v>148</v>
      </c>
      <c r="AV81" s="3" t="s">
        <v>499</v>
      </c>
      <c r="AW81" s="3" t="s">
        <v>173</v>
      </c>
      <c r="AZ81" s="3"/>
      <c r="BA81" s="3" t="s">
        <v>64</v>
      </c>
      <c r="BB81" s="3" t="s">
        <v>148</v>
      </c>
      <c r="BC81" s="3" t="s">
        <v>321</v>
      </c>
      <c r="BD81" s="3" t="s">
        <v>173</v>
      </c>
      <c r="BG81" s="3"/>
      <c r="BH81" s="3" t="s">
        <v>161</v>
      </c>
      <c r="BI81" s="3" t="s">
        <v>150</v>
      </c>
      <c r="BJ81" s="3" t="s">
        <v>455</v>
      </c>
      <c r="BK81" s="3" t="s">
        <v>173</v>
      </c>
      <c r="BL81" s="3" t="s">
        <v>161</v>
      </c>
      <c r="BM81" s="3">
        <v>4</v>
      </c>
      <c r="BN81" s="3" t="s">
        <v>175</v>
      </c>
      <c r="BR81" s="3" t="s">
        <v>173</v>
      </c>
      <c r="BY81" s="3" t="s">
        <v>173</v>
      </c>
      <c r="CJ81" s="6">
        <v>0.5</v>
      </c>
      <c r="CK81" s="6">
        <f>IF(CJ81&lt;0.26,2,IF(CJ81&lt;0.51,4,IF(CJ81&lt;1.1,8,99)))</f>
        <v>4</v>
      </c>
      <c r="CL81" s="3">
        <f>IF(M81="Elemental",10,IF(CJ81&lt;2,2,CJ81*3))</f>
        <v>2</v>
      </c>
      <c r="CM81" s="3">
        <f>IF(W81&gt;0,8,0)</f>
        <v>0</v>
      </c>
      <c r="CN81" s="3">
        <f>IF(X81&gt;0,4,0)</f>
        <v>4</v>
      </c>
    </row>
    <row r="82" spans="1:92">
      <c r="A82" s="3" t="str">
        <f>IF(DruidLevel&lt;B82,"",CHAR(9)&amp;"&lt;monster&gt;"&amp;CHAR(13)&amp;CHAR(9)&amp;CHAR(9)&amp;"&lt;name&gt;"&amp;L82&amp;" (Wild Shape)&lt;/name&gt;"&amp;CHAR(13)&amp;CHAR(9)&amp;CHAR(9)&amp;"&lt;size&gt;"&amp;LEFT(P82,1)&amp;"&lt;/size&gt;"&amp;CHAR(13)&amp;CHAR(9)&amp;CHAR(9)&amp;"&lt;type&gt;"&amp;M82&amp;"&lt;/type&gt;"&amp;CHAR(13)&amp;CHAR(9)&amp;CHAR(9)&amp;"&lt;alignment&gt;"&amp;N82&amp;"&lt;/alignment&gt;"&amp;CHAR(13)&amp;CHAR(9)&amp;CHAR(9)&amp;"&lt;ac&gt;"&amp;Q82&amp;IF(ISBLANK(R82),""," ("&amp;R82&amp;")")&amp;"&lt;/ac&gt;"&amp;CHAR(13)&amp;CHAR(9)&amp;CHAR(9)&amp;"&lt;hp&gt;"&amp;S82&amp;"&lt;/hp&gt;"&amp;CHAR(13)&amp;CHAR(9)&amp;CHAR(9)&amp;"&lt;speed&gt;"&amp;E82&amp;"&lt;/speed&gt;"&amp;CHAR(13)&amp;CHAR(9)&amp;CHAR(9)&amp;"&lt;str&gt;"&amp;Y82&amp;"&lt;/str&gt;&lt;dex&gt;"&amp;Z82&amp;"&lt;/dex&gt;&lt;con&gt;"&amp;AA82&amp;"&lt;/con&gt;&lt;int&gt;"&amp;AB82&amp;"&lt;/int&gt;&lt;wis&gt;"&amp;AC82&amp;"&lt;/wis&gt;&lt;cha&gt;"&amp;AD82&amp;"&lt;/cha&gt;"&amp;CHAR(13)&amp;CHAR(9)&amp;CHAR(9)&amp;"&lt;save&gt;"&amp;AK82&amp;"&lt;/save&gt;"&amp;CHAR(13)&amp;CHAR(9)&amp;CHAR(9)&amp;"&lt;skill&gt;"&amp;AJ82&amp;"&lt;/skill&gt;"&amp;CHAR(13)&amp;CHAR(9)&amp;CHAR(9)&amp;"&lt;vulnerable&gt;"&amp;AO82&amp;"&lt;/vulnerable&gt;"&amp;CHAR(13)&amp;CHAR(9)&amp;CHAR(9)&amp;"&lt;resist&gt;"&amp;AP82&amp;"&lt;/resist&gt;"&amp;CHAR(13)&amp;CHAR(9)&amp;CHAR(9)&amp;"&lt;immune&gt;"&amp;AQ82&amp;"&lt;/immune&gt;"&amp;CHAR(13)&amp;CHAR(9)&amp;CHAR(9)&amp;"&lt;conditionImmune&gt;"&amp;AR82&amp;"&lt;/conditionImmune&gt;"&amp;CHAR(13)&amp;CHAR(9)&amp;CHAR(9)&amp;"&lt;senses&gt;"&amp;AM82&amp;"&lt;/senses&gt;"&amp;CHAR(13)&amp;CHAR(9)&amp;CHAR(9)&amp;"&lt;passive&gt;"&amp;AN82&amp;"&lt;/passive&gt;"&amp;CHAR(13)&amp;CHAR(9)&amp;CHAR(9)&amp;"&lt;languages&gt;"&amp;AS82&amp;"&lt;/languages&gt;"&amp;CHAR(13)&amp;CHAR(9)&amp;CHAR(9)&amp;"&lt;cr&gt;"&amp;O82&amp;"&lt;/cr&gt;"&amp;F82&amp;G82&amp;H82&amp;I82&amp;J82&amp;K82&amp;IF(C82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2" s="3">
        <f>IF(COTM=TRUE,MAX(CL82,CM82,CN82),MAX(CK82,CM82,CN82))</f>
        <v>99</v>
      </c>
      <c r="C82" s="11" t="str">
        <f>IF(COTM=FALSE,"",IF(DruidLevel&gt;5,"Y",""))</f>
        <v/>
      </c>
      <c r="D82" s="3" t="s">
        <v>173</v>
      </c>
      <c r="E82" s="3" t="str">
        <f>T82&amp;" ft."&amp;IF(U82+V82+W82+X82=0,"",", ")&amp;IF(ISBLANK(U82),"","burrow "&amp;U82&amp;" ft."&amp;IF(V82+W82+X82=0,"",", "))&amp;IF(ISBLANK(V82),"","climb "&amp;V82&amp;" ft."&amp;IF(W82+X82=0,"",", "))&amp;IF(ISBLANK(W82),"","fly "&amp;W82&amp;" ft."&amp;IF(X82=0,"",", "))&amp;IF(ISBLANK(X82),"","swim "&amp;X82&amp;" ft.")</f>
        <v>40 ft.</v>
      </c>
      <c r="F82" s="3" t="str">
        <f>IF(ISBLANK(AT82),"",CHAR(13)&amp;CHAR(9)&amp;CHAR(9)&amp;"&lt;"&amp;AU82&amp;"&gt;"&amp;CHAR(13)&amp;CHAR(9)&amp;CHAR(9)&amp;CHAR(9)&amp;"&lt;name&gt;"&amp;AT82&amp;"&lt;/name&gt;"&amp;CHAR(13)&amp;CHAR(9)&amp;CHAR(9)&amp;CHAR(9)&amp;"&lt;text&gt;"&amp;AV82&amp;"&lt;/text&gt;"&amp;IF(ISBLANK(AX82),"",CHAR(13)&amp;CHAR(9)&amp;CHAR(9)&amp;CHAR(9)&amp;"&lt;attack&gt;"&amp;AX82&amp;"|"&amp;AY82&amp;"|"&amp;AZ82&amp;"&lt;/attack&gt;")&amp;CHAR(13)&amp;CHAR(9)&amp;CHAR(9)&amp;"&lt;/"&amp;AU82&amp;"&gt;")</f>
        <v>_x000D_		&lt;trait&gt;_x000D_			&lt;name&gt;Charge&lt;/name&gt;_x000D_			&lt;text&gt;If the rhinoceros moves at least 20 feet straight toward a target and then hits it with a gore attack on the same turn, the target takes an extra 9 (2d8) bludgeoning damage. If the target is a creature, it must succeed on a DC 15 Strength saving throw or be knocked prone.&lt;/text&gt;_x000D_		&lt;/trait&gt;</v>
      </c>
      <c r="G82" s="3" t="str">
        <f>IF(ISBLANK(BA82),"",CHAR(13)&amp;CHAR(9)&amp;CHAR(9)&amp;"&lt;"&amp;BB82&amp;"&gt;"&amp;CHAR(13)&amp;CHAR(9)&amp;CHAR(9)&amp;CHAR(9)&amp;"&lt;name&gt;"&amp;BA82&amp;"&lt;/name&gt;"&amp;CHAR(13)&amp;CHAR(9)&amp;CHAR(9)&amp;CHAR(9)&amp;"&lt;text&gt;"&amp;BC82&amp;"&lt;/text&gt;"&amp;IF(ISBLANK(BE82),"",CHAR(13)&amp;CHAR(9)&amp;CHAR(9)&amp;CHAR(9)&amp;"&lt;attack&gt;"&amp;BE82&amp;"|"&amp;BF82&amp;"|"&amp;BG82&amp;"&lt;/attack&gt;")&amp;CHAR(13)&amp;CHAR(9)&amp;CHAR(9)&amp;"&lt;/"&amp;BB82&amp;"&gt;")</f>
        <v>_x000D_		&lt;action&gt;_x000D_			&lt;name&gt;Gore&lt;/name&gt;_x000D_			&lt;text&gt;Melee Weapon Attack: +7 to hit, reach 5 ft., one target. Hit: 14 (2d8 + 5) bludgeoning damage.&lt;/text&gt;_x000D_			&lt;attack&gt;Gore|7|2d8+5&lt;/attack&gt;_x000D_		&lt;/action&gt;</v>
      </c>
      <c r="H82" s="3" t="str">
        <f>IF(ISBLANK(BH82),"",CHAR(13)&amp;CHAR(9)&amp;CHAR(9)&amp;"&lt;"&amp;BI82&amp;"&gt;"&amp;CHAR(13)&amp;CHAR(9)&amp;CHAR(9)&amp;CHAR(9)&amp;"&lt;name&gt;"&amp;BH82&amp;"&lt;/name&gt;"&amp;CHAR(13)&amp;CHAR(9)&amp;CHAR(9)&amp;CHAR(9)&amp;"&lt;text&gt;"&amp;BJ82&amp;"&lt;/text&gt;"&amp;IF(ISBLANK(BL82),"",CHAR(13)&amp;CHAR(9)&amp;CHAR(9)&amp;CHAR(9)&amp;"&lt;attack&gt;"&amp;BL82&amp;"|"&amp;BM82&amp;"|"&amp;BN82&amp;"&lt;/attack&gt;")&amp;CHAR(13)&amp;CHAR(9)&amp;CHAR(9)&amp;"&lt;/"&amp;BI82&amp;"&gt;")</f>
        <v/>
      </c>
      <c r="I82" s="3" t="str">
        <f>IF(ISBLANK(BO82),"",CHAR(13)&amp;CHAR(9)&amp;CHAR(9)&amp;"&lt;"&amp;BP82&amp;"&gt;"&amp;CHAR(13)&amp;CHAR(9)&amp;CHAR(9)&amp;CHAR(9)&amp;"&lt;name&gt;"&amp;BO82&amp;"&lt;/name&gt;"&amp;CHAR(13)&amp;CHAR(9)&amp;CHAR(9)&amp;CHAR(9)&amp;"&lt;text&gt;"&amp;BQ82&amp;"&lt;/text&gt;"&amp;IF(ISBLANK(BS82),"",CHAR(13)&amp;CHAR(9)&amp;CHAR(9)&amp;CHAR(9)&amp;"&lt;attack&gt;"&amp;BS82&amp;"|"&amp;BT82&amp;"|"&amp;BU82&amp;"&lt;/attack&gt;")&amp;CHAR(13)&amp;CHAR(9)&amp;CHAR(9)&amp;"&lt;/"&amp;BP82&amp;"&gt;")</f>
        <v/>
      </c>
      <c r="J82" s="3" t="str">
        <f>IF(ISBLANK(BV82),"",CHAR(13)&amp;CHAR(9)&amp;CHAR(9)&amp;"&lt;"&amp;BW82&amp;"&gt;"&amp;CHAR(13)&amp;CHAR(9)&amp;CHAR(9)&amp;CHAR(9)&amp;"&lt;name&gt;"&amp;BV82&amp;"&lt;/name&gt;"&amp;CHAR(13)&amp;CHAR(9)&amp;CHAR(9)&amp;CHAR(9)&amp;"&lt;text&gt;"&amp;BX82&amp;"&lt;/text&gt;"&amp;IF(ISBLANK(BZ82),"",CHAR(13)&amp;CHAR(9)&amp;CHAR(9)&amp;CHAR(9)&amp;"&lt;attack&gt;"&amp;BZ82&amp;"|"&amp;CA82&amp;"|"&amp;CB82&amp;"&lt;/attack&gt;")&amp;CHAR(13)&amp;CHAR(9)&amp;CHAR(9)&amp;"&lt;/"&amp;BW82&amp;"&gt;")</f>
        <v/>
      </c>
      <c r="K82" s="3" t="str">
        <f>IF(ISBLANK(CC82),"",CHAR(13)&amp;CHAR(9)&amp;CHAR(9)&amp;"&lt;"&amp;CD82&amp;"&gt;"&amp;CHAR(13)&amp;CHAR(9)&amp;CHAR(9)&amp;CHAR(9)&amp;"&lt;name&gt;"&amp;CC82&amp;"&lt;/name&gt;"&amp;CHAR(13)&amp;CHAR(9)&amp;CHAR(9)&amp;CHAR(9)&amp;"&lt;text&gt;"&amp;CE82&amp;"&lt;/text&gt;"&amp;IF(ISBLANK(CG82),"",CHAR(13)&amp;CHAR(9)&amp;CHAR(9)&amp;CHAR(9)&amp;"&lt;attack&gt;"&amp;CG82&amp;"|"&amp;CH82&amp;"|"&amp;CI82&amp;"&lt;/attack&gt;")&amp;CHAR(13)&amp;CHAR(9)&amp;CHAR(9)&amp;"&lt;/"&amp;CD82&amp;"&gt;")</f>
        <v/>
      </c>
      <c r="L82" s="1" t="s">
        <v>85</v>
      </c>
      <c r="M82" s="1" t="s">
        <v>275</v>
      </c>
      <c r="N82" s="1">
        <f>DruidAlignment</f>
        <v>0</v>
      </c>
      <c r="O82" s="2">
        <v>2</v>
      </c>
      <c r="P82" s="1" t="s">
        <v>2</v>
      </c>
      <c r="Q82" s="1">
        <v>11</v>
      </c>
      <c r="R82" s="1" t="s">
        <v>405</v>
      </c>
      <c r="S82" s="1">
        <v>45</v>
      </c>
      <c r="T82" s="1">
        <v>40</v>
      </c>
      <c r="Y82" s="1">
        <v>21</v>
      </c>
      <c r="Z82" s="1">
        <v>8</v>
      </c>
      <c r="AA82" s="1">
        <v>15</v>
      </c>
      <c r="AB82" s="10">
        <f>DruidInt</f>
        <v>0</v>
      </c>
      <c r="AC82" s="10">
        <f>DruidWis</f>
        <v>0</v>
      </c>
      <c r="AD82" s="10">
        <f>DruidCha</f>
        <v>0</v>
      </c>
      <c r="AE82" s="12"/>
      <c r="AF82" s="12"/>
      <c r="AG82" s="12"/>
      <c r="AH82" s="12" t="s">
        <v>173</v>
      </c>
      <c r="AI82" s="12" t="str">
        <f>IF(ISBLANK(DruidAcrobatics),"",", Acrobatics +"&amp;DruidAcrobatics)&amp;IF(ISBLANK(DruidAnimalHandling),"",", Animal Handling +"&amp;DruidAnimalHandling)&amp;IF(ISBLANK(DruidArcana),"",", Arcana +"&amp;DruidArcana)&amp;IF(DruidAthletics+AE82=0,"",", Athletics +"&amp;MAX(DruidAthletics,AE82))&amp;IF(ISBLANK(DruidDeception),"",",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+"&amp;DruidNature)&amp;IF(DruidPerception+AF82=0,"",", Perception +"&amp;MAX(DruidPerception,AF82))&amp;IF(ISBLANK(DruidPerformance),"",", Performance +"&amp;DruidPerformance)&amp;IF(ISBLANK(DruidPersuasion),"",", Persuasion +"&amp;DruidPersuasion)&amp;IF(ISBLANK(DruidReligion),"",", Religion +"&amp;DruidReligion)&amp;IF(ISBLANK(DruidSleightofHand),"",", Sleight of Hand +"&amp;DruidSleightofHand)&amp;IF(DruidStealth+AG82=0,"",", Stealth +"&amp;MAX(DruidStealth,AG82))&amp;IF(ISBLANK(DruidSurvival),"",", Survival +"&amp;DruidSurvival)</f>
        <v/>
      </c>
      <c r="AJ82" s="1" t="e">
        <f>RIGHT(AI82,LEN(AI82)-2)</f>
        <v>#VALUE!</v>
      </c>
      <c r="AK8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2" s="1" t="s">
        <v>173</v>
      </c>
      <c r="AN82" s="3">
        <f>IF(DruidPerception+AF82=0,10+(ROUNDDOWN((AC82-10)/2,0)),10+MAX(DruidPerception,AF82))</f>
        <v>5</v>
      </c>
      <c r="AT82" s="3" t="s">
        <v>38</v>
      </c>
      <c r="AU82" s="3" t="s">
        <v>148</v>
      </c>
      <c r="AV82" s="3" t="s">
        <v>384</v>
      </c>
      <c r="AW82" s="3" t="s">
        <v>173</v>
      </c>
      <c r="AZ82" s="3"/>
      <c r="BA82" s="3" t="s">
        <v>245</v>
      </c>
      <c r="BB82" s="3" t="s">
        <v>150</v>
      </c>
      <c r="BC82" s="3" t="s">
        <v>385</v>
      </c>
      <c r="BD82" s="3" t="s">
        <v>173</v>
      </c>
      <c r="BE82" s="3" t="s">
        <v>245</v>
      </c>
      <c r="BF82" s="3">
        <v>7</v>
      </c>
      <c r="BG82" s="3" t="s">
        <v>154</v>
      </c>
      <c r="BK82" s="3" t="s">
        <v>173</v>
      </c>
      <c r="BN82" s="3"/>
      <c r="BR82" s="3" t="s">
        <v>173</v>
      </c>
      <c r="BY82" s="3" t="s">
        <v>173</v>
      </c>
      <c r="CJ82" s="6">
        <v>2</v>
      </c>
      <c r="CK82" s="6">
        <f>IF(CJ82&lt;0.26,2,IF(CJ82&lt;0.51,4,IF(CJ82&lt;1.1,8,99)))</f>
        <v>99</v>
      </c>
      <c r="CL82" s="3">
        <f>IF(M82="Elemental",10,IF(CJ82&lt;2,2,CJ82*3))</f>
        <v>6</v>
      </c>
      <c r="CM82" s="3">
        <f>IF(W82&gt;0,8,0)</f>
        <v>0</v>
      </c>
      <c r="CN82" s="3">
        <f>IF(X82&gt;0,4,0)</f>
        <v>0</v>
      </c>
    </row>
    <row r="83" spans="1:92">
      <c r="A83" s="3" t="str">
        <f>IF(DruidLevel&lt;B83,"",CHAR(9)&amp;"&lt;monster&gt;"&amp;CHAR(13)&amp;CHAR(9)&amp;CHAR(9)&amp;"&lt;name&gt;"&amp;L83&amp;" (Wild Shape)&lt;/name&gt;"&amp;CHAR(13)&amp;CHAR(9)&amp;CHAR(9)&amp;"&lt;size&gt;"&amp;LEFT(P83,1)&amp;"&lt;/size&gt;"&amp;CHAR(13)&amp;CHAR(9)&amp;CHAR(9)&amp;"&lt;type&gt;"&amp;M83&amp;"&lt;/type&gt;"&amp;CHAR(13)&amp;CHAR(9)&amp;CHAR(9)&amp;"&lt;alignment&gt;"&amp;N83&amp;"&lt;/alignment&gt;"&amp;CHAR(13)&amp;CHAR(9)&amp;CHAR(9)&amp;"&lt;ac&gt;"&amp;Q83&amp;IF(ISBLANK(R83),""," ("&amp;R83&amp;")")&amp;"&lt;/ac&gt;"&amp;CHAR(13)&amp;CHAR(9)&amp;CHAR(9)&amp;"&lt;hp&gt;"&amp;S83&amp;"&lt;/hp&gt;"&amp;CHAR(13)&amp;CHAR(9)&amp;CHAR(9)&amp;"&lt;speed&gt;"&amp;E83&amp;"&lt;/speed&gt;"&amp;CHAR(13)&amp;CHAR(9)&amp;CHAR(9)&amp;"&lt;str&gt;"&amp;Y83&amp;"&lt;/str&gt;&lt;dex&gt;"&amp;Z83&amp;"&lt;/dex&gt;&lt;con&gt;"&amp;AA83&amp;"&lt;/con&gt;&lt;int&gt;"&amp;AB83&amp;"&lt;/int&gt;&lt;wis&gt;"&amp;AC83&amp;"&lt;/wis&gt;&lt;cha&gt;"&amp;AD83&amp;"&lt;/cha&gt;"&amp;CHAR(13)&amp;CHAR(9)&amp;CHAR(9)&amp;"&lt;save&gt;"&amp;AK83&amp;"&lt;/save&gt;"&amp;CHAR(13)&amp;CHAR(9)&amp;CHAR(9)&amp;"&lt;skill&gt;"&amp;AJ83&amp;"&lt;/skill&gt;"&amp;CHAR(13)&amp;CHAR(9)&amp;CHAR(9)&amp;"&lt;vulnerable&gt;"&amp;AO83&amp;"&lt;/vulnerable&gt;"&amp;CHAR(13)&amp;CHAR(9)&amp;CHAR(9)&amp;"&lt;resist&gt;"&amp;AP83&amp;"&lt;/resist&gt;"&amp;CHAR(13)&amp;CHAR(9)&amp;CHAR(9)&amp;"&lt;immune&gt;"&amp;AQ83&amp;"&lt;/immune&gt;"&amp;CHAR(13)&amp;CHAR(9)&amp;CHAR(9)&amp;"&lt;conditionImmune&gt;"&amp;AR83&amp;"&lt;/conditionImmune&gt;"&amp;CHAR(13)&amp;CHAR(9)&amp;CHAR(9)&amp;"&lt;senses&gt;"&amp;AM83&amp;"&lt;/senses&gt;"&amp;CHAR(13)&amp;CHAR(9)&amp;CHAR(9)&amp;"&lt;passive&gt;"&amp;AN83&amp;"&lt;/passive&gt;"&amp;CHAR(13)&amp;CHAR(9)&amp;CHAR(9)&amp;"&lt;languages&gt;"&amp;AS83&amp;"&lt;/languages&gt;"&amp;CHAR(13)&amp;CHAR(9)&amp;CHAR(9)&amp;"&lt;cr&gt;"&amp;O83&amp;"&lt;/cr&gt;"&amp;F83&amp;G83&amp;H83&amp;I83&amp;J83&amp;K83&amp;IF(C83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3" s="3">
        <f>IF(COTM=TRUE,MAX(CL83,CM83,CN83),MAX(CK83,CM83,CN83))</f>
        <v>2</v>
      </c>
      <c r="C83" s="11" t="str">
        <f>IF(COTM=FALSE,"",IF(DruidLevel&gt;5,"Y",""))</f>
        <v/>
      </c>
      <c r="D83" s="3" t="s">
        <v>173</v>
      </c>
      <c r="E83" s="3" t="str">
        <f>T83&amp;" ft."&amp;IF(U83+V83+W83+X83=0,"",", ")&amp;IF(ISBLANK(U83),"","burrow "&amp;U83&amp;" ft."&amp;IF(V83+W83+X83=0,"",", "))&amp;IF(ISBLANK(V83),"","climb "&amp;V83&amp;" ft."&amp;IF(W83+X83=0,"",", "))&amp;IF(ISBLANK(W83),"","fly "&amp;W83&amp;" ft."&amp;IF(X83=0,"",", "))&amp;IF(ISBLANK(X83),"","swim "&amp;X83&amp;" ft.")</f>
        <v>60 ft.</v>
      </c>
      <c r="F83" s="3" t="str">
        <f>IF(ISBLANK(AT83),"",CHAR(13)&amp;CHAR(9)&amp;CHAR(9)&amp;"&lt;"&amp;AU83&amp;"&gt;"&amp;CHAR(13)&amp;CHAR(9)&amp;CHAR(9)&amp;CHAR(9)&amp;"&lt;name&gt;"&amp;AT83&amp;"&lt;/name&gt;"&amp;CHAR(13)&amp;CHAR(9)&amp;CHAR(9)&amp;CHAR(9)&amp;"&lt;text&gt;"&amp;AV83&amp;"&lt;/text&gt;"&amp;IF(ISBLANK(AX83),"",CHAR(13)&amp;CHAR(9)&amp;CHAR(9)&amp;CHAR(9)&amp;"&lt;attack&gt;"&amp;AX83&amp;"|"&amp;AY83&amp;"|"&amp;AZ83&amp;"&lt;/attack&gt;")&amp;CHAR(13)&amp;CHAR(9)&amp;CHAR(9)&amp;"&lt;/"&amp;AU83&amp;"&gt;")</f>
        <v>_x000D_		&lt;action&gt;_x000D_			&lt;name&gt;Hooves&lt;/name&gt;_x000D_			&lt;text&gt;Melee Weapon Attack: +2 to hit, reach 5 ft., one target. Hit: 8 (2d4+3) bludgeoning damage.&lt;/text&gt;_x000D_			&lt;attack&gt;Hooves|2|2d4+3&lt;/attack&gt;_x000D_		&lt;/action&gt;</v>
      </c>
      <c r="G83" s="3" t="str">
        <f>IF(ISBLANK(BA83),"",CHAR(13)&amp;CHAR(9)&amp;CHAR(9)&amp;"&lt;"&amp;BB83&amp;"&gt;"&amp;CHAR(13)&amp;CHAR(9)&amp;CHAR(9)&amp;CHAR(9)&amp;"&lt;name&gt;"&amp;BA83&amp;"&lt;/name&gt;"&amp;CHAR(13)&amp;CHAR(9)&amp;CHAR(9)&amp;CHAR(9)&amp;"&lt;text&gt;"&amp;BC83&amp;"&lt;/text&gt;"&amp;IF(ISBLANK(BE83),"",CHAR(13)&amp;CHAR(9)&amp;CHAR(9)&amp;CHAR(9)&amp;"&lt;attack&gt;"&amp;BE83&amp;"|"&amp;BF83&amp;"|"&amp;BG83&amp;"&lt;/attack&gt;")&amp;CHAR(13)&amp;CHAR(9)&amp;CHAR(9)&amp;"&lt;/"&amp;BB83&amp;"&gt;")</f>
        <v/>
      </c>
      <c r="H83" s="3" t="str">
        <f>IF(ISBLANK(BH83),"",CHAR(13)&amp;CHAR(9)&amp;CHAR(9)&amp;"&lt;"&amp;BI83&amp;"&gt;"&amp;CHAR(13)&amp;CHAR(9)&amp;CHAR(9)&amp;CHAR(9)&amp;"&lt;name&gt;"&amp;BH83&amp;"&lt;/name&gt;"&amp;CHAR(13)&amp;CHAR(9)&amp;CHAR(9)&amp;CHAR(9)&amp;"&lt;text&gt;"&amp;BJ83&amp;"&lt;/text&gt;"&amp;IF(ISBLANK(BL83),"",CHAR(13)&amp;CHAR(9)&amp;CHAR(9)&amp;CHAR(9)&amp;"&lt;attack&gt;"&amp;BL83&amp;"|"&amp;BM83&amp;"|"&amp;BN83&amp;"&lt;/attack&gt;")&amp;CHAR(13)&amp;CHAR(9)&amp;CHAR(9)&amp;"&lt;/"&amp;BI83&amp;"&gt;")</f>
        <v/>
      </c>
      <c r="I83" s="3" t="str">
        <f>IF(ISBLANK(BO83),"",CHAR(13)&amp;CHAR(9)&amp;CHAR(9)&amp;"&lt;"&amp;BP83&amp;"&gt;"&amp;CHAR(13)&amp;CHAR(9)&amp;CHAR(9)&amp;CHAR(9)&amp;"&lt;name&gt;"&amp;BO83&amp;"&lt;/name&gt;"&amp;CHAR(13)&amp;CHAR(9)&amp;CHAR(9)&amp;CHAR(9)&amp;"&lt;text&gt;"&amp;BQ83&amp;"&lt;/text&gt;"&amp;IF(ISBLANK(BS83),"",CHAR(13)&amp;CHAR(9)&amp;CHAR(9)&amp;CHAR(9)&amp;"&lt;attack&gt;"&amp;BS83&amp;"|"&amp;BT83&amp;"|"&amp;BU83&amp;"&lt;/attack&gt;")&amp;CHAR(13)&amp;CHAR(9)&amp;CHAR(9)&amp;"&lt;/"&amp;BP83&amp;"&gt;")</f>
        <v/>
      </c>
      <c r="J83" s="3" t="str">
        <f>IF(ISBLANK(BV83),"",CHAR(13)&amp;CHAR(9)&amp;CHAR(9)&amp;"&lt;"&amp;BW83&amp;"&gt;"&amp;CHAR(13)&amp;CHAR(9)&amp;CHAR(9)&amp;CHAR(9)&amp;"&lt;name&gt;"&amp;BV83&amp;"&lt;/name&gt;"&amp;CHAR(13)&amp;CHAR(9)&amp;CHAR(9)&amp;CHAR(9)&amp;"&lt;text&gt;"&amp;BX83&amp;"&lt;/text&gt;"&amp;IF(ISBLANK(BZ83),"",CHAR(13)&amp;CHAR(9)&amp;CHAR(9)&amp;CHAR(9)&amp;"&lt;attack&gt;"&amp;BZ83&amp;"|"&amp;CA83&amp;"|"&amp;CB83&amp;"&lt;/attack&gt;")&amp;CHAR(13)&amp;CHAR(9)&amp;CHAR(9)&amp;"&lt;/"&amp;BW83&amp;"&gt;")</f>
        <v/>
      </c>
      <c r="K83" s="3" t="str">
        <f>IF(ISBLANK(CC83),"",CHAR(13)&amp;CHAR(9)&amp;CHAR(9)&amp;"&lt;"&amp;CD83&amp;"&gt;"&amp;CHAR(13)&amp;CHAR(9)&amp;CHAR(9)&amp;CHAR(9)&amp;"&lt;name&gt;"&amp;CC83&amp;"&lt;/name&gt;"&amp;CHAR(13)&amp;CHAR(9)&amp;CHAR(9)&amp;CHAR(9)&amp;"&lt;text&gt;"&amp;CE83&amp;"&lt;/text&gt;"&amp;IF(ISBLANK(CG83),"",CHAR(13)&amp;CHAR(9)&amp;CHAR(9)&amp;CHAR(9)&amp;"&lt;attack&gt;"&amp;CG83&amp;"|"&amp;CH83&amp;"|"&amp;CI83&amp;"&lt;/attack&gt;")&amp;CHAR(13)&amp;CHAR(9)&amp;CHAR(9)&amp;"&lt;/"&amp;CD83&amp;"&gt;")</f>
        <v/>
      </c>
      <c r="L83" s="1" t="s">
        <v>44</v>
      </c>
      <c r="M83" s="1" t="s">
        <v>275</v>
      </c>
      <c r="N83" s="1">
        <f>DruidAlignment</f>
        <v>0</v>
      </c>
      <c r="O83" s="2" t="s">
        <v>208</v>
      </c>
      <c r="P83" s="1" t="s">
        <v>2</v>
      </c>
      <c r="Q83" s="1">
        <v>10</v>
      </c>
      <c r="R83" s="1"/>
      <c r="S83" s="1">
        <v>13</v>
      </c>
      <c r="T83" s="1">
        <v>60</v>
      </c>
      <c r="Y83" s="1">
        <v>16</v>
      </c>
      <c r="Z83" s="1">
        <v>10</v>
      </c>
      <c r="AA83" s="1">
        <v>12</v>
      </c>
      <c r="AB83" s="10">
        <f>DruidInt</f>
        <v>0</v>
      </c>
      <c r="AC83" s="10">
        <f>DruidWis</f>
        <v>0</v>
      </c>
      <c r="AD83" s="10">
        <f>DruidCha</f>
        <v>0</v>
      </c>
      <c r="AE83" s="12"/>
      <c r="AF83" s="12">
        <v>4</v>
      </c>
      <c r="AG83" s="12"/>
      <c r="AH83" s="12" t="s">
        <v>173</v>
      </c>
      <c r="AI83" s="12" t="str">
        <f>IF(ISBLANK(DruidAcrobatics),"",", Acrobatics +"&amp;DruidAcrobatics)&amp;IF(ISBLANK(DruidAnimalHandling),"",", Animal Handling +"&amp;DruidAnimalHandling)&amp;IF(ISBLANK(DruidArcana),"",", Arcana +"&amp;DruidArcana)&amp;IF(DruidAthletics+AE83=0,"",", Athletics +"&amp;MAX(DruidAthletics,AE83))&amp;IF(ISBLANK(DruidDeception),"",",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+"&amp;DruidNature)&amp;IF(DruidPerception+AF83=0,"",", Perception +"&amp;MAX(DruidPerception,AF83))&amp;IF(ISBLANK(DruidPerformance),"",", Performance +"&amp;DruidPerformance)&amp;IF(ISBLANK(DruidPersuasion),"",", Persuasion +"&amp;DruidPersuasion)&amp;IF(ISBLANK(DruidReligion),"",", Religion +"&amp;DruidReligion)&amp;IF(ISBLANK(DruidSleightofHand),"",", Sleight of Hand +"&amp;DruidSleightofHand)&amp;IF(DruidStealth+AG83=0,"",", Stealth +"&amp;MAX(DruidStealth,AG83))&amp;IF(ISBLANK(DruidSurvival),"",", Survival +"&amp;DruidSurvival)</f>
        <v>, Perception +4</v>
      </c>
      <c r="AJ83" s="1" t="str">
        <f>RIGHT(AI83,LEN(AI83)-2)</f>
        <v>Perception +4</v>
      </c>
      <c r="AK8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3" s="1" t="s">
        <v>173</v>
      </c>
      <c r="AN83" s="3">
        <f>IF(DruidPerception+AF83=0,10+(ROUNDDOWN((AC83-10)/2,0)),10+MAX(DruidPerception,AF83))</f>
        <v>14</v>
      </c>
      <c r="AT83" s="3" t="s">
        <v>240</v>
      </c>
      <c r="AU83" s="3" t="s">
        <v>150</v>
      </c>
      <c r="AV83" s="3" t="s">
        <v>473</v>
      </c>
      <c r="AW83" s="3" t="s">
        <v>173</v>
      </c>
      <c r="AX83" s="3" t="s">
        <v>240</v>
      </c>
      <c r="AY83" s="3">
        <v>2</v>
      </c>
      <c r="AZ83" s="3" t="s">
        <v>253</v>
      </c>
      <c r="BD83" s="3" t="s">
        <v>173</v>
      </c>
      <c r="BG83" s="3"/>
      <c r="BK83" s="3" t="s">
        <v>173</v>
      </c>
      <c r="BN83" s="3"/>
      <c r="BR83" s="3" t="s">
        <v>173</v>
      </c>
      <c r="BY83" s="3" t="s">
        <v>173</v>
      </c>
      <c r="CJ83" s="6">
        <v>0.25</v>
      </c>
      <c r="CK83" s="6">
        <f>IF(CJ83&lt;0.26,2,IF(CJ83&lt;0.51,4,IF(CJ83&lt;1.1,8,99)))</f>
        <v>2</v>
      </c>
      <c r="CL83" s="3">
        <f>IF(M83="Elemental",10,IF(CJ83&lt;2,2,CJ83*3))</f>
        <v>2</v>
      </c>
      <c r="CM83" s="3">
        <f>IF(W83&gt;0,8,0)</f>
        <v>0</v>
      </c>
      <c r="CN83" s="3">
        <f>IF(X83&gt;0,4,0)</f>
        <v>0</v>
      </c>
    </row>
    <row r="84" spans="1:92">
      <c r="A84" s="3" t="str">
        <f>IF(DruidLevel&lt;B84,"",CHAR(9)&amp;"&lt;monster&gt;"&amp;CHAR(13)&amp;CHAR(9)&amp;CHAR(9)&amp;"&lt;name&gt;"&amp;L84&amp;" (Wild Shape)&lt;/name&gt;"&amp;CHAR(13)&amp;CHAR(9)&amp;CHAR(9)&amp;"&lt;size&gt;"&amp;LEFT(P84,1)&amp;"&lt;/size&gt;"&amp;CHAR(13)&amp;CHAR(9)&amp;CHAR(9)&amp;"&lt;type&gt;"&amp;M84&amp;"&lt;/type&gt;"&amp;CHAR(13)&amp;CHAR(9)&amp;CHAR(9)&amp;"&lt;alignment&gt;"&amp;N84&amp;"&lt;/alignment&gt;"&amp;CHAR(13)&amp;CHAR(9)&amp;CHAR(9)&amp;"&lt;ac&gt;"&amp;Q84&amp;IF(ISBLANK(R84),""," ("&amp;R84&amp;")")&amp;"&lt;/ac&gt;"&amp;CHAR(13)&amp;CHAR(9)&amp;CHAR(9)&amp;"&lt;hp&gt;"&amp;S84&amp;"&lt;/hp&gt;"&amp;CHAR(13)&amp;CHAR(9)&amp;CHAR(9)&amp;"&lt;speed&gt;"&amp;E84&amp;"&lt;/speed&gt;"&amp;CHAR(13)&amp;CHAR(9)&amp;CHAR(9)&amp;"&lt;str&gt;"&amp;Y84&amp;"&lt;/str&gt;&lt;dex&gt;"&amp;Z84&amp;"&lt;/dex&gt;&lt;con&gt;"&amp;AA84&amp;"&lt;/con&gt;&lt;int&gt;"&amp;AB84&amp;"&lt;/int&gt;&lt;wis&gt;"&amp;AC84&amp;"&lt;/wis&gt;&lt;cha&gt;"&amp;AD84&amp;"&lt;/cha&gt;"&amp;CHAR(13)&amp;CHAR(9)&amp;CHAR(9)&amp;"&lt;save&gt;"&amp;AK84&amp;"&lt;/save&gt;"&amp;CHAR(13)&amp;CHAR(9)&amp;CHAR(9)&amp;"&lt;skill&gt;"&amp;AJ84&amp;"&lt;/skill&gt;"&amp;CHAR(13)&amp;CHAR(9)&amp;CHAR(9)&amp;"&lt;vulnerable&gt;"&amp;AO84&amp;"&lt;/vulnerable&gt;"&amp;CHAR(13)&amp;CHAR(9)&amp;CHAR(9)&amp;"&lt;resist&gt;"&amp;AP84&amp;"&lt;/resist&gt;"&amp;CHAR(13)&amp;CHAR(9)&amp;CHAR(9)&amp;"&lt;immune&gt;"&amp;AQ84&amp;"&lt;/immune&gt;"&amp;CHAR(13)&amp;CHAR(9)&amp;CHAR(9)&amp;"&lt;conditionImmune&gt;"&amp;AR84&amp;"&lt;/conditionImmune&gt;"&amp;CHAR(13)&amp;CHAR(9)&amp;CHAR(9)&amp;"&lt;senses&gt;"&amp;AM84&amp;"&lt;/senses&gt;"&amp;CHAR(13)&amp;CHAR(9)&amp;CHAR(9)&amp;"&lt;passive&gt;"&amp;AN84&amp;"&lt;/passive&gt;"&amp;CHAR(13)&amp;CHAR(9)&amp;CHAR(9)&amp;"&lt;languages&gt;"&amp;AS84&amp;"&lt;/languages&gt;"&amp;CHAR(13)&amp;CHAR(9)&amp;CHAR(9)&amp;"&lt;cr&gt;"&amp;O84&amp;"&lt;/cr&gt;"&amp;F84&amp;G84&amp;H84&amp;I84&amp;J84&amp;K84&amp;IF(C84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4" s="3">
        <f>IF(COTM=TRUE,MAX(CL84,CM84,CN84),MAX(CK84,CM84,CN84))</f>
        <v>99</v>
      </c>
      <c r="C84" s="11" t="str">
        <f>IF(COTM=FALSE,"",IF(DruidLevel&gt;5,"Y",""))</f>
        <v/>
      </c>
      <c r="D84" s="3" t="s">
        <v>173</v>
      </c>
      <c r="E84" s="3" t="str">
        <f>T84&amp;" ft."&amp;IF(U84+V84+W84+X84=0,"",", ")&amp;IF(ISBLANK(U84),"","burrow "&amp;U84&amp;" ft."&amp;IF(V84+W84+X84=0,"",", "))&amp;IF(ISBLANK(V84),"","climb "&amp;V84&amp;" ft."&amp;IF(W84+X84=0,"",", "))&amp;IF(ISBLANK(W84),"","fly "&amp;W84&amp;" ft."&amp;IF(X84=0,"",", "))&amp;IF(ISBLANK(X84),"","swim "&amp;X84&amp;" ft.")</f>
        <v>40 ft.</v>
      </c>
      <c r="F84" s="3" t="str">
        <f>IF(ISBLANK(AT84),"",CHAR(13)&amp;CHAR(9)&amp;CHAR(9)&amp;"&lt;"&amp;AU84&amp;"&gt;"&amp;CHAR(13)&amp;CHAR(9)&amp;CHAR(9)&amp;CHAR(9)&amp;"&lt;name&gt;"&amp;AT84&amp;"&lt;/name&gt;"&amp;CHAR(13)&amp;CHAR(9)&amp;CHAR(9)&amp;CHAR(9)&amp;"&lt;text&gt;"&amp;AV84&amp;"&lt;/text&gt;"&amp;IF(ISBLANK(AX84),"",CHAR(13)&amp;CHAR(9)&amp;CHAR(9)&amp;CHAR(9)&amp;"&lt;attack&gt;"&amp;AX84&amp;"|"&amp;AY84&amp;"|"&amp;AZ84&amp;"&lt;/attack&gt;")&amp;CHAR(13)&amp;CHAR(9)&amp;CHAR(9)&amp;"&lt;/"&amp;AU84&amp;"&gt;")</f>
        <v>_x000D_		&lt;trait&gt;_x000D_			&lt;name&gt;Keen Smell&lt;/name&gt;_x000D_			&lt;text&gt;The tiger has advantage on Wisdom (Perception) checks that rely on smell.&lt;/text&gt;_x000D_		&lt;/trait&gt;</v>
      </c>
      <c r="G84" s="3" t="str">
        <f>IF(ISBLANK(BA84),"",CHAR(13)&amp;CHAR(9)&amp;CHAR(9)&amp;"&lt;"&amp;BB84&amp;"&gt;"&amp;CHAR(13)&amp;CHAR(9)&amp;CHAR(9)&amp;CHAR(9)&amp;"&lt;name&gt;"&amp;BA84&amp;"&lt;/name&gt;"&amp;CHAR(13)&amp;CHAR(9)&amp;CHAR(9)&amp;CHAR(9)&amp;"&lt;text&gt;"&amp;BC84&amp;"&lt;/text&gt;"&amp;IF(ISBLANK(BE84),"",CHAR(13)&amp;CHAR(9)&amp;CHAR(9)&amp;CHAR(9)&amp;"&lt;attack&gt;"&amp;BE84&amp;"|"&amp;BF84&amp;"|"&amp;BG84&amp;"&lt;/attack&gt;")&amp;CHAR(13)&amp;CHAR(9)&amp;CHAR(9)&amp;"&lt;/"&amp;BB84&amp;"&gt;")</f>
        <v>_x000D_		&lt;trait&gt;_x000D_			&lt;name&gt;Pounce&lt;/name&gt;_x000D_			&lt;text&gt;If the tiger moves at least 20 feet straight toward a creature and then hits it with a claw attack on the same turn, that target must succeed on a DC 14 Strength saving throw or be knocked prone. If the target is prone, the tiger can make one bite attack against it as a bonus action.&lt;/text&gt;_x000D_		&lt;/trait&gt;</v>
      </c>
      <c r="H84" s="3" t="str">
        <f>IF(ISBLANK(BH84),"",CHAR(13)&amp;CHAR(9)&amp;CHAR(9)&amp;"&lt;"&amp;BI84&amp;"&gt;"&amp;CHAR(13)&amp;CHAR(9)&amp;CHAR(9)&amp;CHAR(9)&amp;"&lt;name&gt;"&amp;BH84&amp;"&lt;/name&gt;"&amp;CHAR(13)&amp;CHAR(9)&amp;CHAR(9)&amp;CHAR(9)&amp;"&lt;text&gt;"&amp;BJ84&amp;"&lt;/text&gt;"&amp;IF(ISBLANK(BL84),"",CHAR(13)&amp;CHAR(9)&amp;CHAR(9)&amp;CHAR(9)&amp;"&lt;attack&gt;"&amp;BL84&amp;"|"&amp;BM84&amp;"|"&amp;BN84&amp;"&lt;/attack&gt;")&amp;CHAR(13)&amp;CHAR(9)&amp;CHAR(9)&amp;"&lt;/"&amp;BI84&amp;"&gt;")</f>
        <v>_x000D_		&lt;action&gt;_x000D_			&lt;name&gt;Bite&lt;/name&gt;_x000D_			&lt;text&gt;Melee Weapon Attack: +6 to hit, reach 5 ft., one target. Hit: 10 (1d10 + 5) piercing damage.&lt;/text&gt;_x000D_			&lt;attack&gt;Bite|6|1d10+5&lt;/attack&gt;_x000D_		&lt;/action&gt;</v>
      </c>
      <c r="I84" s="3" t="str">
        <f>IF(ISBLANK(BO84),"",CHAR(13)&amp;CHAR(9)&amp;CHAR(9)&amp;"&lt;"&amp;BP84&amp;"&gt;"&amp;CHAR(13)&amp;CHAR(9)&amp;CHAR(9)&amp;CHAR(9)&amp;"&lt;name&gt;"&amp;BO84&amp;"&lt;/name&gt;"&amp;CHAR(13)&amp;CHAR(9)&amp;CHAR(9)&amp;CHAR(9)&amp;"&lt;text&gt;"&amp;BQ84&amp;"&lt;/text&gt;"&amp;IF(ISBLANK(BS84),"",CHAR(13)&amp;CHAR(9)&amp;CHAR(9)&amp;CHAR(9)&amp;"&lt;attack&gt;"&amp;BS84&amp;"|"&amp;BT84&amp;"|"&amp;BU84&amp;"&lt;/attack&gt;")&amp;CHAR(13)&amp;CHAR(9)&amp;CHAR(9)&amp;"&lt;/"&amp;BP84&amp;"&gt;")</f>
        <v>_x000D_		&lt;action&gt;_x000D_			&lt;name&gt;Claw&lt;/name&gt;_x000D_			&lt;text&gt;Melee Weapon Attack: +6 to hit, reach 5 ft., one target. Hit: 12 (2d6 + 5) slashing damage.&lt;/text&gt;_x000D_			&lt;attack&gt;Claw|6|2d6+5&lt;/attack&gt;_x000D_		&lt;/action&gt;</v>
      </c>
      <c r="J84" s="3" t="str">
        <f>IF(ISBLANK(BV84),"",CHAR(13)&amp;CHAR(9)&amp;CHAR(9)&amp;"&lt;"&amp;BW84&amp;"&gt;"&amp;CHAR(13)&amp;CHAR(9)&amp;CHAR(9)&amp;CHAR(9)&amp;"&lt;name&gt;"&amp;BV84&amp;"&lt;/name&gt;"&amp;CHAR(13)&amp;CHAR(9)&amp;CHAR(9)&amp;CHAR(9)&amp;"&lt;text&gt;"&amp;BX84&amp;"&lt;/text&gt;"&amp;IF(ISBLANK(BZ84),"",CHAR(13)&amp;CHAR(9)&amp;CHAR(9)&amp;CHAR(9)&amp;"&lt;attack&gt;"&amp;BZ84&amp;"|"&amp;CA84&amp;"|"&amp;CB84&amp;"&lt;/attack&gt;")&amp;CHAR(13)&amp;CHAR(9)&amp;CHAR(9)&amp;"&lt;/"&amp;BW84&amp;"&gt;")</f>
        <v/>
      </c>
      <c r="K84" s="3" t="str">
        <f>IF(ISBLANK(CC84),"",CHAR(13)&amp;CHAR(9)&amp;CHAR(9)&amp;"&lt;"&amp;CD84&amp;"&gt;"&amp;CHAR(13)&amp;CHAR(9)&amp;CHAR(9)&amp;CHAR(9)&amp;"&lt;name&gt;"&amp;CC84&amp;"&lt;/name&gt;"&amp;CHAR(13)&amp;CHAR(9)&amp;CHAR(9)&amp;CHAR(9)&amp;"&lt;text&gt;"&amp;CE84&amp;"&lt;/text&gt;"&amp;IF(ISBLANK(CG84),"",CHAR(13)&amp;CHAR(9)&amp;CHAR(9)&amp;CHAR(9)&amp;"&lt;attack&gt;"&amp;CG84&amp;"|"&amp;CH84&amp;"|"&amp;CI84&amp;"&lt;/attack&gt;")&amp;CHAR(13)&amp;CHAR(9)&amp;CHAR(9)&amp;"&lt;/"&amp;CD84&amp;"&gt;")</f>
        <v/>
      </c>
      <c r="L84" s="1" t="s">
        <v>86</v>
      </c>
      <c r="M84" s="1" t="s">
        <v>275</v>
      </c>
      <c r="N84" s="1">
        <f>DruidAlignment</f>
        <v>0</v>
      </c>
      <c r="O84" s="2">
        <v>2</v>
      </c>
      <c r="P84" s="1" t="s">
        <v>2</v>
      </c>
      <c r="Q84" s="1">
        <v>12</v>
      </c>
      <c r="R84" s="1"/>
      <c r="S84" s="1">
        <v>52</v>
      </c>
      <c r="T84" s="1">
        <v>40</v>
      </c>
      <c r="Y84" s="1">
        <v>18</v>
      </c>
      <c r="Z84" s="1">
        <v>14</v>
      </c>
      <c r="AA84" s="1">
        <v>15</v>
      </c>
      <c r="AB84" s="10">
        <f>DruidInt</f>
        <v>0</v>
      </c>
      <c r="AC84" s="10">
        <f>DruidWis</f>
        <v>0</v>
      </c>
      <c r="AD84" s="10">
        <f>DruidCha</f>
        <v>0</v>
      </c>
      <c r="AE84" s="12"/>
      <c r="AF84" s="12">
        <v>2</v>
      </c>
      <c r="AG84" s="12">
        <v>6</v>
      </c>
      <c r="AH84" s="12" t="s">
        <v>173</v>
      </c>
      <c r="AI84" s="12" t="str">
        <f>IF(ISBLANK(DruidAcrobatics),"",", Acrobatics +"&amp;DruidAcrobatics)&amp;IF(ISBLANK(DruidAnimalHandling),"",", Animal Handling +"&amp;DruidAnimalHandling)&amp;IF(ISBLANK(DruidArcana),"",", Arcana +"&amp;DruidArcana)&amp;IF(DruidAthletics+AE84=0,"",", Athletics +"&amp;MAX(DruidAthletics,AE84))&amp;IF(ISBLANK(DruidDeception),"",",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+"&amp;DruidNature)&amp;IF(DruidPerception+AF84=0,"",", Perception +"&amp;MAX(DruidPerception,AF84))&amp;IF(ISBLANK(DruidPerformance),"",", Performance +"&amp;DruidPerformance)&amp;IF(ISBLANK(DruidPersuasion),"",", Persuasion +"&amp;DruidPersuasion)&amp;IF(ISBLANK(DruidReligion),"",", Religion +"&amp;DruidReligion)&amp;IF(ISBLANK(DruidSleightofHand),"",", Sleight of Hand +"&amp;DruidSleightofHand)&amp;IF(DruidStealth+AG84=0,"",", Stealth +"&amp;MAX(DruidStealth,AG84))&amp;IF(ISBLANK(DruidSurvival),"",", Survival +"&amp;DruidSurvival)</f>
        <v>, Perception +2, Stealth +6</v>
      </c>
      <c r="AJ84" s="1" t="str">
        <f>RIGHT(AI84,LEN(AI84)-2)</f>
        <v>Perception +2, Stealth +6</v>
      </c>
      <c r="AK8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4" s="1" t="s">
        <v>173</v>
      </c>
      <c r="AN84" s="3">
        <f>IF(DruidPerception+AF84=0,10+(ROUNDDOWN((AC84-10)/2,0)),10+MAX(DruidPerception,AF84))</f>
        <v>12</v>
      </c>
      <c r="AT84" s="3" t="s">
        <v>14</v>
      </c>
      <c r="AU84" s="3" t="s">
        <v>148</v>
      </c>
      <c r="AV84" s="3" t="s">
        <v>386</v>
      </c>
      <c r="AW84" s="3" t="s">
        <v>173</v>
      </c>
      <c r="AZ84" s="3"/>
      <c r="BA84" s="3" t="s">
        <v>77</v>
      </c>
      <c r="BB84" s="3" t="s">
        <v>148</v>
      </c>
      <c r="BC84" s="3" t="s">
        <v>387</v>
      </c>
      <c r="BD84" s="3" t="s">
        <v>173</v>
      </c>
      <c r="BG84" s="3"/>
      <c r="BH84" s="3" t="s">
        <v>161</v>
      </c>
      <c r="BI84" s="3" t="s">
        <v>150</v>
      </c>
      <c r="BJ84" s="3" t="s">
        <v>388</v>
      </c>
      <c r="BK84" s="3" t="s">
        <v>173</v>
      </c>
      <c r="BL84" s="3" t="s">
        <v>161</v>
      </c>
      <c r="BM84" s="3">
        <v>6</v>
      </c>
      <c r="BN84" s="3" t="s">
        <v>389</v>
      </c>
      <c r="BO84" s="3" t="s">
        <v>164</v>
      </c>
      <c r="BP84" s="3" t="s">
        <v>150</v>
      </c>
      <c r="BQ84" s="3" t="s">
        <v>390</v>
      </c>
      <c r="BR84" s="3" t="s">
        <v>173</v>
      </c>
      <c r="BS84" s="3" t="s">
        <v>164</v>
      </c>
      <c r="BT84" s="3">
        <v>6</v>
      </c>
      <c r="BU84" s="3" t="s">
        <v>378</v>
      </c>
      <c r="BY84" s="3" t="s">
        <v>173</v>
      </c>
      <c r="CJ84" s="6">
        <v>2</v>
      </c>
      <c r="CK84" s="6">
        <f>IF(CJ84&lt;0.26,2,IF(CJ84&lt;0.51,4,IF(CJ84&lt;1.1,8,99)))</f>
        <v>99</v>
      </c>
      <c r="CL84" s="3">
        <f>IF(M84="Elemental",10,IF(CJ84&lt;2,2,CJ84*3))</f>
        <v>6</v>
      </c>
      <c r="CM84" s="3">
        <f>IF(W84&gt;0,8,0)</f>
        <v>0</v>
      </c>
      <c r="CN84" s="3">
        <f>IF(X84&gt;0,4,0)</f>
        <v>0</v>
      </c>
    </row>
    <row r="85" spans="1:92">
      <c r="A85" s="3" t="str">
        <f>IF(DruidLevel&lt;B85,"",CHAR(9)&amp;"&lt;monster&gt;"&amp;CHAR(13)&amp;CHAR(9)&amp;CHAR(9)&amp;"&lt;name&gt;"&amp;L85&amp;" (Wild Shape)&lt;/name&gt;"&amp;CHAR(13)&amp;CHAR(9)&amp;CHAR(9)&amp;"&lt;size&gt;"&amp;LEFT(P85,1)&amp;"&lt;/size&gt;"&amp;CHAR(13)&amp;CHAR(9)&amp;CHAR(9)&amp;"&lt;type&gt;"&amp;M85&amp;"&lt;/type&gt;"&amp;CHAR(13)&amp;CHAR(9)&amp;CHAR(9)&amp;"&lt;alignment&gt;"&amp;N85&amp;"&lt;/alignment&gt;"&amp;CHAR(13)&amp;CHAR(9)&amp;CHAR(9)&amp;"&lt;ac&gt;"&amp;Q85&amp;IF(ISBLANK(R85),""," ("&amp;R85&amp;")")&amp;"&lt;/ac&gt;"&amp;CHAR(13)&amp;CHAR(9)&amp;CHAR(9)&amp;"&lt;hp&gt;"&amp;S85&amp;"&lt;/hp&gt;"&amp;CHAR(13)&amp;CHAR(9)&amp;CHAR(9)&amp;"&lt;speed&gt;"&amp;E85&amp;"&lt;/speed&gt;"&amp;CHAR(13)&amp;CHAR(9)&amp;CHAR(9)&amp;"&lt;str&gt;"&amp;Y85&amp;"&lt;/str&gt;&lt;dex&gt;"&amp;Z85&amp;"&lt;/dex&gt;&lt;con&gt;"&amp;AA85&amp;"&lt;/con&gt;&lt;int&gt;"&amp;AB85&amp;"&lt;/int&gt;&lt;wis&gt;"&amp;AC85&amp;"&lt;/wis&gt;&lt;cha&gt;"&amp;AD85&amp;"&lt;/cha&gt;"&amp;CHAR(13)&amp;CHAR(9)&amp;CHAR(9)&amp;"&lt;save&gt;"&amp;AK85&amp;"&lt;/save&gt;"&amp;CHAR(13)&amp;CHAR(9)&amp;CHAR(9)&amp;"&lt;skill&gt;"&amp;AJ85&amp;"&lt;/skill&gt;"&amp;CHAR(13)&amp;CHAR(9)&amp;CHAR(9)&amp;"&lt;vulnerable&gt;"&amp;AO85&amp;"&lt;/vulnerable&gt;"&amp;CHAR(13)&amp;CHAR(9)&amp;CHAR(9)&amp;"&lt;resist&gt;"&amp;AP85&amp;"&lt;/resist&gt;"&amp;CHAR(13)&amp;CHAR(9)&amp;CHAR(9)&amp;"&lt;immune&gt;"&amp;AQ85&amp;"&lt;/immune&gt;"&amp;CHAR(13)&amp;CHAR(9)&amp;CHAR(9)&amp;"&lt;conditionImmune&gt;"&amp;AR85&amp;"&lt;/conditionImmune&gt;"&amp;CHAR(13)&amp;CHAR(9)&amp;CHAR(9)&amp;"&lt;senses&gt;"&amp;AM85&amp;"&lt;/senses&gt;"&amp;CHAR(13)&amp;CHAR(9)&amp;CHAR(9)&amp;"&lt;passive&gt;"&amp;AN85&amp;"&lt;/passive&gt;"&amp;CHAR(13)&amp;CHAR(9)&amp;CHAR(9)&amp;"&lt;languages&gt;"&amp;AS85&amp;"&lt;/languages&gt;"&amp;CHAR(13)&amp;CHAR(9)&amp;CHAR(9)&amp;"&lt;cr&gt;"&amp;O85&amp;"&lt;/cr&gt;"&amp;F85&amp;G85&amp;H85&amp;I85&amp;J85&amp;K85&amp;IF(C85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5" s="3">
        <f>IF(COTM=TRUE,MAX(CL85,CM85,CN85),MAX(CK85,CM85,CN85))</f>
        <v>2</v>
      </c>
      <c r="C85" s="11" t="str">
        <f>IF(COTM=FALSE,"",IF(DruidLevel&gt;5,"Y",""))</f>
        <v/>
      </c>
      <c r="D85" s="3" t="s">
        <v>173</v>
      </c>
      <c r="E85" s="3" t="str">
        <f>T85&amp;" ft."&amp;IF(U85+V85+W85+X85=0,"",", ")&amp;IF(ISBLANK(U85),"","burrow "&amp;U85&amp;" ft."&amp;IF(V85+W85+X85=0,"",", "))&amp;IF(ISBLANK(V85),"","climb "&amp;V85&amp;" ft."&amp;IF(W85+X85=0,"",", "))&amp;IF(ISBLANK(W85),"","fly "&amp;W85&amp;" ft."&amp;IF(X85=0,"",", "))&amp;IF(ISBLANK(X85),"","swim "&amp;X85&amp;" ft.")</f>
        <v>10 ft.</v>
      </c>
      <c r="F85" s="3" t="str">
        <f>IF(ISBLANK(AT85),"",CHAR(13)&amp;CHAR(9)&amp;CHAR(9)&amp;"&lt;"&amp;AU85&amp;"&gt;"&amp;CHAR(13)&amp;CHAR(9)&amp;CHAR(9)&amp;CHAR(9)&amp;"&lt;name&gt;"&amp;AT85&amp;"&lt;/name&gt;"&amp;CHAR(13)&amp;CHAR(9)&amp;CHAR(9)&amp;CHAR(9)&amp;"&lt;text&gt;"&amp;AV85&amp;"&lt;/text&gt;"&amp;IF(ISBLANK(AX85),"",CHAR(13)&amp;CHAR(9)&amp;CHAR(9)&amp;CHAR(9)&amp;"&lt;attack&gt;"&amp;AX85&amp;"|"&amp;AY85&amp;"|"&amp;AZ85&amp;"&lt;/attack&gt;")&amp;CHAR(13)&amp;CHAR(9)&amp;CHAR(9)&amp;"&lt;/"&amp;AU85&amp;"&gt;")</f>
        <v>_x000D_		&lt;action&gt;_x000D_			&lt;name&gt;Sting&lt;/name&gt;_x000D_			&lt;text&gt;Melee Weapon Attack: +2 to hit, reach 5 ft., one creature. Hit: 1 piercing damage, and the target must make a DC 9 Constitution saving throw, taking 4 (1d8) poison damage on a failed save, or half as much damage on a successful one.&lt;/text&gt;_x000D_			&lt;attack&gt;Sting|2|1&lt;/attack&gt;_x000D_		&lt;/action&gt;</v>
      </c>
      <c r="G85" s="3" t="str">
        <f>IF(ISBLANK(BA85),"",CHAR(13)&amp;CHAR(9)&amp;CHAR(9)&amp;"&lt;"&amp;BB85&amp;"&gt;"&amp;CHAR(13)&amp;CHAR(9)&amp;CHAR(9)&amp;CHAR(9)&amp;"&lt;name&gt;"&amp;BA85&amp;"&lt;/name&gt;"&amp;CHAR(13)&amp;CHAR(9)&amp;CHAR(9)&amp;CHAR(9)&amp;"&lt;text&gt;"&amp;BC85&amp;"&lt;/text&gt;"&amp;IF(ISBLANK(BE85),"",CHAR(13)&amp;CHAR(9)&amp;CHAR(9)&amp;CHAR(9)&amp;"&lt;attack&gt;"&amp;BE85&amp;"|"&amp;BF85&amp;"|"&amp;BG85&amp;"&lt;/attack&gt;")&amp;CHAR(13)&amp;CHAR(9)&amp;CHAR(9)&amp;"&lt;/"&amp;BB85&amp;"&gt;")</f>
        <v/>
      </c>
      <c r="H85" s="3" t="str">
        <f>IF(ISBLANK(BH85),"",CHAR(13)&amp;CHAR(9)&amp;CHAR(9)&amp;"&lt;"&amp;BI85&amp;"&gt;"&amp;CHAR(13)&amp;CHAR(9)&amp;CHAR(9)&amp;CHAR(9)&amp;"&lt;name&gt;"&amp;BH85&amp;"&lt;/name&gt;"&amp;CHAR(13)&amp;CHAR(9)&amp;CHAR(9)&amp;CHAR(9)&amp;"&lt;text&gt;"&amp;BJ85&amp;"&lt;/text&gt;"&amp;IF(ISBLANK(BL85),"",CHAR(13)&amp;CHAR(9)&amp;CHAR(9)&amp;CHAR(9)&amp;"&lt;attack&gt;"&amp;BL85&amp;"|"&amp;BM85&amp;"|"&amp;BN85&amp;"&lt;/attack&gt;")&amp;CHAR(13)&amp;CHAR(9)&amp;CHAR(9)&amp;"&lt;/"&amp;BI85&amp;"&gt;")</f>
        <v/>
      </c>
      <c r="I85" s="3" t="str">
        <f>IF(ISBLANK(BO85),"",CHAR(13)&amp;CHAR(9)&amp;CHAR(9)&amp;"&lt;"&amp;BP85&amp;"&gt;"&amp;CHAR(13)&amp;CHAR(9)&amp;CHAR(9)&amp;CHAR(9)&amp;"&lt;name&gt;"&amp;BO85&amp;"&lt;/name&gt;"&amp;CHAR(13)&amp;CHAR(9)&amp;CHAR(9)&amp;CHAR(9)&amp;"&lt;text&gt;"&amp;BQ85&amp;"&lt;/text&gt;"&amp;IF(ISBLANK(BS85),"",CHAR(13)&amp;CHAR(9)&amp;CHAR(9)&amp;CHAR(9)&amp;"&lt;attack&gt;"&amp;BS85&amp;"|"&amp;BT85&amp;"|"&amp;BU85&amp;"&lt;/attack&gt;")&amp;CHAR(13)&amp;CHAR(9)&amp;CHAR(9)&amp;"&lt;/"&amp;BP85&amp;"&gt;")</f>
        <v/>
      </c>
      <c r="J85" s="3" t="str">
        <f>IF(ISBLANK(BV85),"",CHAR(13)&amp;CHAR(9)&amp;CHAR(9)&amp;"&lt;"&amp;BW85&amp;"&gt;"&amp;CHAR(13)&amp;CHAR(9)&amp;CHAR(9)&amp;CHAR(9)&amp;"&lt;name&gt;"&amp;BV85&amp;"&lt;/name&gt;"&amp;CHAR(13)&amp;CHAR(9)&amp;CHAR(9)&amp;CHAR(9)&amp;"&lt;text&gt;"&amp;BX85&amp;"&lt;/text&gt;"&amp;IF(ISBLANK(BZ85),"",CHAR(13)&amp;CHAR(9)&amp;CHAR(9)&amp;CHAR(9)&amp;"&lt;attack&gt;"&amp;BZ85&amp;"|"&amp;CA85&amp;"|"&amp;CB85&amp;"&lt;/attack&gt;")&amp;CHAR(13)&amp;CHAR(9)&amp;CHAR(9)&amp;"&lt;/"&amp;BW85&amp;"&gt;")</f>
        <v/>
      </c>
      <c r="K85" s="3" t="str">
        <f>IF(ISBLANK(CC85),"",CHAR(13)&amp;CHAR(9)&amp;CHAR(9)&amp;"&lt;"&amp;CD85&amp;"&gt;"&amp;CHAR(13)&amp;CHAR(9)&amp;CHAR(9)&amp;CHAR(9)&amp;"&lt;name&gt;"&amp;CC85&amp;"&lt;/name&gt;"&amp;CHAR(13)&amp;CHAR(9)&amp;CHAR(9)&amp;CHAR(9)&amp;"&lt;text&gt;"&amp;CE85&amp;"&lt;/text&gt;"&amp;IF(ISBLANK(CG85),"",CHAR(13)&amp;CHAR(9)&amp;CHAR(9)&amp;CHAR(9)&amp;"&lt;attack&gt;"&amp;CG85&amp;"|"&amp;CH85&amp;"|"&amp;CI85&amp;"&lt;/attack&gt;")&amp;CHAR(13)&amp;CHAR(9)&amp;CHAR(9)&amp;"&lt;/"&amp;CD85&amp;"&gt;")</f>
        <v/>
      </c>
      <c r="L85" s="1" t="s">
        <v>25</v>
      </c>
      <c r="M85" s="1" t="s">
        <v>275</v>
      </c>
      <c r="N85" s="1">
        <f>DruidAlignment</f>
        <v>0</v>
      </c>
      <c r="O85" s="2">
        <v>0</v>
      </c>
      <c r="P85" s="1" t="s">
        <v>0</v>
      </c>
      <c r="Q85" s="1">
        <v>11</v>
      </c>
      <c r="R85" s="1" t="s">
        <v>405</v>
      </c>
      <c r="S85" s="1">
        <v>1</v>
      </c>
      <c r="T85" s="1">
        <v>10</v>
      </c>
      <c r="Y85" s="1">
        <v>2</v>
      </c>
      <c r="Z85" s="1">
        <v>11</v>
      </c>
      <c r="AA85" s="1">
        <v>8</v>
      </c>
      <c r="AB85" s="10">
        <f>DruidInt</f>
        <v>0</v>
      </c>
      <c r="AC85" s="10">
        <f>DruidWis</f>
        <v>0</v>
      </c>
      <c r="AD85" s="10">
        <f>DruidCha</f>
        <v>0</v>
      </c>
      <c r="AE85" s="12"/>
      <c r="AF85" s="12"/>
      <c r="AG85" s="12"/>
      <c r="AH85" s="12" t="s">
        <v>173</v>
      </c>
      <c r="AI85" s="12" t="str">
        <f>IF(ISBLANK(DruidAcrobatics),"",", Acrobatics +"&amp;DruidAcrobatics)&amp;IF(ISBLANK(DruidAnimalHandling),"",", Animal Handling +"&amp;DruidAnimalHandling)&amp;IF(ISBLANK(DruidArcana),"",", Arcana +"&amp;DruidArcana)&amp;IF(DruidAthletics+AE85=0,"",", Athletics +"&amp;MAX(DruidAthletics,AE85))&amp;IF(ISBLANK(DruidDeception),"",",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+"&amp;DruidNature)&amp;IF(DruidPerception+AF85=0,"",", Perception +"&amp;MAX(DruidPerception,AF85))&amp;IF(ISBLANK(DruidPerformance),"",", Performance +"&amp;DruidPerformance)&amp;IF(ISBLANK(DruidPersuasion),"",", Persuasion +"&amp;DruidPersuasion)&amp;IF(ISBLANK(DruidReligion),"",", Religion +"&amp;DruidReligion)&amp;IF(ISBLANK(DruidSleightofHand),"",", Sleight of Hand +"&amp;DruidSleightofHand)&amp;IF(DruidStealth+AG85=0,"",", Stealth +"&amp;MAX(DruidStealth,AG85))&amp;IF(ISBLANK(DruidSurvival),"",", Survival +"&amp;DruidSurvival)</f>
        <v/>
      </c>
      <c r="AJ85" s="1" t="e">
        <f>RIGHT(AI85,LEN(AI85)-2)</f>
        <v>#VALUE!</v>
      </c>
      <c r="AK8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5" s="1" t="s">
        <v>173</v>
      </c>
      <c r="AM85" s="1" t="s">
        <v>180</v>
      </c>
      <c r="AN85" s="3">
        <f>IF(DruidPerception+AF85=0,10+(ROUNDDOWN((AC85-10)/2,0)),10+MAX(DruidPerception,AF85))</f>
        <v>5</v>
      </c>
      <c r="AO85" s="1"/>
      <c r="AP85" s="1"/>
      <c r="AQ85" s="1"/>
      <c r="AR85" s="1"/>
      <c r="AS85" s="1"/>
      <c r="AT85" s="3" t="s">
        <v>205</v>
      </c>
      <c r="AU85" s="3" t="s">
        <v>150</v>
      </c>
      <c r="AV85" s="3" t="s">
        <v>391</v>
      </c>
      <c r="AW85" s="3" t="s">
        <v>173</v>
      </c>
      <c r="AX85" s="3" t="s">
        <v>205</v>
      </c>
      <c r="AY85" s="3">
        <v>2</v>
      </c>
      <c r="AZ85" s="3">
        <v>1</v>
      </c>
      <c r="BD85" s="3" t="s">
        <v>173</v>
      </c>
      <c r="BG85" s="3"/>
      <c r="BK85" s="3" t="s">
        <v>173</v>
      </c>
      <c r="BN85" s="3"/>
      <c r="BR85" s="3" t="s">
        <v>173</v>
      </c>
      <c r="BY85" s="3" t="s">
        <v>173</v>
      </c>
      <c r="CJ85" s="6">
        <v>0</v>
      </c>
      <c r="CK85" s="6">
        <f>IF(CJ85&lt;0.26,2,IF(CJ85&lt;0.51,4,IF(CJ85&lt;1.1,8,99)))</f>
        <v>2</v>
      </c>
      <c r="CL85" s="3">
        <f>IF(M85="Elemental",10,IF(CJ85&lt;2,2,CJ85*3))</f>
        <v>2</v>
      </c>
      <c r="CM85" s="3">
        <f>IF(W85&gt;0,8,0)</f>
        <v>0</v>
      </c>
      <c r="CN85" s="3">
        <f>IF(X85&gt;0,4,0)</f>
        <v>0</v>
      </c>
    </row>
    <row r="86" spans="1:92">
      <c r="A86" s="3" t="str">
        <f>IF(DruidLevel&lt;B86,"",CHAR(9)&amp;"&lt;monster&gt;"&amp;CHAR(13)&amp;CHAR(9)&amp;CHAR(9)&amp;"&lt;name&gt;"&amp;L86&amp;" (Wild Shape)&lt;/name&gt;"&amp;CHAR(13)&amp;CHAR(9)&amp;CHAR(9)&amp;"&lt;size&gt;"&amp;LEFT(P86,1)&amp;"&lt;/size&gt;"&amp;CHAR(13)&amp;CHAR(9)&amp;CHAR(9)&amp;"&lt;type&gt;"&amp;M86&amp;"&lt;/type&gt;"&amp;CHAR(13)&amp;CHAR(9)&amp;CHAR(9)&amp;"&lt;alignment&gt;"&amp;N86&amp;"&lt;/alignment&gt;"&amp;CHAR(13)&amp;CHAR(9)&amp;CHAR(9)&amp;"&lt;ac&gt;"&amp;Q86&amp;IF(ISBLANK(R86),""," ("&amp;R86&amp;")")&amp;"&lt;/ac&gt;"&amp;CHAR(13)&amp;CHAR(9)&amp;CHAR(9)&amp;"&lt;hp&gt;"&amp;S86&amp;"&lt;/hp&gt;"&amp;CHAR(13)&amp;CHAR(9)&amp;CHAR(9)&amp;"&lt;speed&gt;"&amp;E86&amp;"&lt;/speed&gt;"&amp;CHAR(13)&amp;CHAR(9)&amp;CHAR(9)&amp;"&lt;str&gt;"&amp;Y86&amp;"&lt;/str&gt;&lt;dex&gt;"&amp;Z86&amp;"&lt;/dex&gt;&lt;con&gt;"&amp;AA86&amp;"&lt;/con&gt;&lt;int&gt;"&amp;AB86&amp;"&lt;/int&gt;&lt;wis&gt;"&amp;AC86&amp;"&lt;/wis&gt;&lt;cha&gt;"&amp;AD86&amp;"&lt;/cha&gt;"&amp;CHAR(13)&amp;CHAR(9)&amp;CHAR(9)&amp;"&lt;save&gt;"&amp;AK86&amp;"&lt;/save&gt;"&amp;CHAR(13)&amp;CHAR(9)&amp;CHAR(9)&amp;"&lt;skill&gt;"&amp;AJ86&amp;"&lt;/skill&gt;"&amp;CHAR(13)&amp;CHAR(9)&amp;CHAR(9)&amp;"&lt;vulnerable&gt;"&amp;AO86&amp;"&lt;/vulnerable&gt;"&amp;CHAR(13)&amp;CHAR(9)&amp;CHAR(9)&amp;"&lt;resist&gt;"&amp;AP86&amp;"&lt;/resist&gt;"&amp;CHAR(13)&amp;CHAR(9)&amp;CHAR(9)&amp;"&lt;immune&gt;"&amp;AQ86&amp;"&lt;/immune&gt;"&amp;CHAR(13)&amp;CHAR(9)&amp;CHAR(9)&amp;"&lt;conditionImmune&gt;"&amp;AR86&amp;"&lt;/conditionImmune&gt;"&amp;CHAR(13)&amp;CHAR(9)&amp;CHAR(9)&amp;"&lt;senses&gt;"&amp;AM86&amp;"&lt;/senses&gt;"&amp;CHAR(13)&amp;CHAR(9)&amp;CHAR(9)&amp;"&lt;passive&gt;"&amp;AN86&amp;"&lt;/passive&gt;"&amp;CHAR(13)&amp;CHAR(9)&amp;CHAR(9)&amp;"&lt;languages&gt;"&amp;AS86&amp;"&lt;/languages&gt;"&amp;CHAR(13)&amp;CHAR(9)&amp;CHAR(9)&amp;"&lt;cr&gt;"&amp;O86&amp;"&lt;/cr&gt;"&amp;F86&amp;G86&amp;H86&amp;I86&amp;J86&amp;K86&amp;IF(C86="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6" s="3">
        <f>IF(COTM=TRUE,MAX(CL86,CM86,CN86),MAX(CK86,CM86,CN86))</f>
        <v>4</v>
      </c>
      <c r="C86" s="11" t="str">
        <f>IF(COTM=FALSE,"",IF(DruidLevel&gt;5,"Y",""))</f>
        <v/>
      </c>
      <c r="D86" s="3" t="s">
        <v>173</v>
      </c>
      <c r="E86" s="3" t="str">
        <f>T86&amp;" ft."&amp;IF(U86+V86+W86+X86=0,"",", ")&amp;IF(ISBLANK(U86),"","burrow "&amp;U86&amp;" ft."&amp;IF(V86+W86+X86=0,"",", "))&amp;IF(ISBLANK(V86),"","climb "&amp;V86&amp;" ft."&amp;IF(W86+X86=0,"",", "))&amp;IF(ISBLANK(W86),"","fly "&amp;W86&amp;" ft."&amp;IF(X86=0,"",", "))&amp;IF(ISBLANK(X86),"","swim "&amp;X86&amp;" ft.")</f>
        <v>0 ft., swim 20 ft.</v>
      </c>
      <c r="F86" s="3" t="str">
        <f>IF(ISBLANK(AT86),"",CHAR(13)&amp;CHAR(9)&amp;CHAR(9)&amp;"&lt;"&amp;AU86&amp;"&gt;"&amp;CHAR(13)&amp;CHAR(9)&amp;CHAR(9)&amp;CHAR(9)&amp;"&lt;name&gt;"&amp;AT86&amp;"&lt;/name&gt;"&amp;CHAR(13)&amp;CHAR(9)&amp;CHAR(9)&amp;CHAR(9)&amp;"&lt;text&gt;"&amp;AV86&amp;"&lt;/text&gt;"&amp;IF(ISBLANK(AX86),"",CHAR(13)&amp;CHAR(9)&amp;CHAR(9)&amp;CHAR(9)&amp;"&lt;attack&gt;"&amp;AX86&amp;"|"&amp;AY86&amp;"|"&amp;AZ86&amp;"&lt;/attack&gt;")&amp;CHAR(13)&amp;CHAR(9)&amp;CHAR(9)&amp;"&lt;/"&amp;AU86&amp;"&gt;")</f>
        <v>_x000D_		&lt;trait&gt;_x000D_			&lt;name&gt;Water Breathing&lt;/name&gt;_x000D_			&lt;text&gt;The sea horse can breathe only underwater.&lt;/text&gt;_x000D_		&lt;/trait&gt;</v>
      </c>
      <c r="G86" s="3" t="str">
        <f>IF(ISBLANK(BA86),"",CHAR(13)&amp;CHAR(9)&amp;CHAR(9)&amp;"&lt;"&amp;BB86&amp;"&gt;"&amp;CHAR(13)&amp;CHAR(9)&amp;CHAR(9)&amp;CHAR(9)&amp;"&lt;name&gt;"&amp;BA86&amp;"&lt;/name&gt;"&amp;CHAR(13)&amp;CHAR(9)&amp;CHAR(9)&amp;CHAR(9)&amp;"&lt;text&gt;"&amp;BC86&amp;"&lt;/text&gt;"&amp;IF(ISBLANK(BE86),"",CHAR(13)&amp;CHAR(9)&amp;CHAR(9)&amp;CHAR(9)&amp;"&lt;attack&gt;"&amp;BE86&amp;"|"&amp;BF86&amp;"|"&amp;BG86&amp;"&lt;/attack&gt;")&amp;CHAR(13)&amp;CHAR(9)&amp;CHAR(9)&amp;"&lt;/"&amp;BB86&amp;"&gt;")</f>
        <v/>
      </c>
      <c r="H86" s="3" t="str">
        <f>IF(ISBLANK(BH86),"",CHAR(13)&amp;CHAR(9)&amp;CHAR(9)&amp;"&lt;"&amp;BI86&amp;"&gt;"&amp;CHAR(13)&amp;CHAR(9)&amp;CHAR(9)&amp;CHAR(9)&amp;"&lt;name&gt;"&amp;BH86&amp;"&lt;/name&gt;"&amp;CHAR(13)&amp;CHAR(9)&amp;CHAR(9)&amp;CHAR(9)&amp;"&lt;text&gt;"&amp;BJ86&amp;"&lt;/text&gt;"&amp;IF(ISBLANK(BL86),"",CHAR(13)&amp;CHAR(9)&amp;CHAR(9)&amp;CHAR(9)&amp;"&lt;attack&gt;"&amp;BL86&amp;"|"&amp;BM86&amp;"|"&amp;BN86&amp;"&lt;/attack&gt;")&amp;CHAR(13)&amp;CHAR(9)&amp;CHAR(9)&amp;"&lt;/"&amp;BI86&amp;"&gt;")</f>
        <v/>
      </c>
      <c r="I86" s="3" t="str">
        <f>IF(ISBLANK(BO86),"",CHAR(13)&amp;CHAR(9)&amp;CHAR(9)&amp;"&lt;"&amp;BP86&amp;"&gt;"&amp;CHAR(13)&amp;CHAR(9)&amp;CHAR(9)&amp;CHAR(9)&amp;"&lt;name&gt;"&amp;BO86&amp;"&lt;/name&gt;"&amp;CHAR(13)&amp;CHAR(9)&amp;CHAR(9)&amp;CHAR(9)&amp;"&lt;text&gt;"&amp;BQ86&amp;"&lt;/text&gt;"&amp;IF(ISBLANK(BS86),"",CHAR(13)&amp;CHAR(9)&amp;CHAR(9)&amp;CHAR(9)&amp;"&lt;attack&gt;"&amp;BS86&amp;"|"&amp;BT86&amp;"|"&amp;BU86&amp;"&lt;/attack&gt;")&amp;CHAR(13)&amp;CHAR(9)&amp;CHAR(9)&amp;"&lt;/"&amp;BP86&amp;"&gt;")</f>
        <v/>
      </c>
      <c r="J86" s="3" t="str">
        <f>IF(ISBLANK(BV86),"",CHAR(13)&amp;CHAR(9)&amp;CHAR(9)&amp;"&lt;"&amp;BW86&amp;"&gt;"&amp;CHAR(13)&amp;CHAR(9)&amp;CHAR(9)&amp;CHAR(9)&amp;"&lt;name&gt;"&amp;BV86&amp;"&lt;/name&gt;"&amp;CHAR(13)&amp;CHAR(9)&amp;CHAR(9)&amp;CHAR(9)&amp;"&lt;text&gt;"&amp;BX86&amp;"&lt;/text&gt;"&amp;IF(ISBLANK(BZ86),"",CHAR(13)&amp;CHAR(9)&amp;CHAR(9)&amp;CHAR(9)&amp;"&lt;attack&gt;"&amp;BZ86&amp;"|"&amp;CA86&amp;"|"&amp;CB86&amp;"&lt;/attack&gt;")&amp;CHAR(13)&amp;CHAR(9)&amp;CHAR(9)&amp;"&lt;/"&amp;BW86&amp;"&gt;")</f>
        <v/>
      </c>
      <c r="K86" s="3" t="str">
        <f>IF(ISBLANK(CC86),"",CHAR(13)&amp;CHAR(9)&amp;CHAR(9)&amp;"&lt;"&amp;CD86&amp;"&gt;"&amp;CHAR(13)&amp;CHAR(9)&amp;CHAR(9)&amp;CHAR(9)&amp;"&lt;name&gt;"&amp;CC86&amp;"&lt;/name&gt;"&amp;CHAR(13)&amp;CHAR(9)&amp;CHAR(9)&amp;CHAR(9)&amp;"&lt;text&gt;"&amp;CE86&amp;"&lt;/text&gt;"&amp;IF(ISBLANK(CG86),"",CHAR(13)&amp;CHAR(9)&amp;CHAR(9)&amp;CHAR(9)&amp;"&lt;attack&gt;"&amp;CG86&amp;"|"&amp;CH86&amp;"|"&amp;CI86&amp;"&lt;/attack&gt;")&amp;CHAR(13)&amp;CHAR(9)&amp;CHAR(9)&amp;"&lt;/"&amp;CD86&amp;"&gt;")</f>
        <v/>
      </c>
      <c r="L86" s="1" t="s">
        <v>63</v>
      </c>
      <c r="M86" s="1" t="s">
        <v>275</v>
      </c>
      <c r="N86" s="1">
        <f>DruidAlignment</f>
        <v>0</v>
      </c>
      <c r="O86" s="2">
        <v>0</v>
      </c>
      <c r="P86" s="1" t="s">
        <v>0</v>
      </c>
      <c r="Q86" s="1">
        <v>11</v>
      </c>
      <c r="R86" s="1"/>
      <c r="S86" s="1">
        <v>1</v>
      </c>
      <c r="T86" s="1">
        <v>0</v>
      </c>
      <c r="X86" s="1">
        <v>20</v>
      </c>
      <c r="Y86" s="1">
        <v>1</v>
      </c>
      <c r="Z86" s="1">
        <v>12</v>
      </c>
      <c r="AA86" s="1">
        <v>8</v>
      </c>
      <c r="AB86" s="10">
        <f>DruidInt</f>
        <v>0</v>
      </c>
      <c r="AC86" s="10">
        <f>DruidWis</f>
        <v>0</v>
      </c>
      <c r="AD86" s="10">
        <f>DruidCha</f>
        <v>0</v>
      </c>
      <c r="AE86" s="12"/>
      <c r="AF86" s="12">
        <v>2</v>
      </c>
      <c r="AG86" s="12"/>
      <c r="AH86" s="12" t="s">
        <v>173</v>
      </c>
      <c r="AI86" s="12" t="str">
        <f>IF(ISBLANK(DruidAcrobatics),"",", Acrobatics +"&amp;DruidAcrobatics)&amp;IF(ISBLANK(DruidAnimalHandling),"",", Animal Handling +"&amp;DruidAnimalHandling)&amp;IF(ISBLANK(DruidArcana),"",", Arcana +"&amp;DruidArcana)&amp;IF(DruidAthletics+AE86=0,"",", Athletics +"&amp;MAX(DruidAthletics,AE86))&amp;IF(ISBLANK(DruidDeception),"",",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+"&amp;DruidNature)&amp;IF(DruidPerception+AF86=0,"",", Perception +"&amp;MAX(DruidPerception,AF86))&amp;IF(ISBLANK(DruidPerformance),"",", Performance +"&amp;DruidPerformance)&amp;IF(ISBLANK(DruidPersuasion),"",", Persuasion +"&amp;DruidPersuasion)&amp;IF(ISBLANK(DruidReligion),"",", Religion +"&amp;DruidReligion)&amp;IF(ISBLANK(DruidSleightofHand),"",", Sleight of Hand +"&amp;DruidSleightofHand)&amp;IF(DruidStealth+AG86=0,"",", Stealth +"&amp;MAX(DruidStealth,AG86))&amp;IF(ISBLANK(DruidSurvival),"",", Survival +"&amp;DruidSurvival)</f>
        <v>, Perception +2</v>
      </c>
      <c r="AJ86" s="1" t="str">
        <f>RIGHT(AI86,LEN(AI86)-2)</f>
        <v>Perception +2</v>
      </c>
      <c r="AK86"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6" s="1" t="s">
        <v>173</v>
      </c>
      <c r="AN86" s="3">
        <f>IF(DruidPerception+AF86=0,10+(ROUNDDOWN((AC86-10)/2,0)),10+MAX(DruidPerception,AF86))</f>
        <v>12</v>
      </c>
      <c r="AT86" s="3" t="s">
        <v>64</v>
      </c>
      <c r="AU86" s="3" t="s">
        <v>148</v>
      </c>
      <c r="AV86" s="3" t="s">
        <v>392</v>
      </c>
      <c r="AW86" s="3" t="s">
        <v>173</v>
      </c>
      <c r="AZ86" s="3"/>
      <c r="BD86" s="3" t="s">
        <v>173</v>
      </c>
      <c r="BG86" s="3"/>
      <c r="BK86" s="3" t="s">
        <v>173</v>
      </c>
      <c r="BN86" s="3"/>
      <c r="BR86" s="3" t="s">
        <v>173</v>
      </c>
      <c r="BY86" s="3" t="s">
        <v>173</v>
      </c>
      <c r="CJ86" s="6">
        <v>0</v>
      </c>
      <c r="CK86" s="6">
        <f>IF(CJ86&lt;0.26,2,IF(CJ86&lt;0.51,4,IF(CJ86&lt;1.1,8,99)))</f>
        <v>2</v>
      </c>
      <c r="CL86" s="3">
        <f>IF(M86="Elemental",10,IF(CJ86&lt;2,2,CJ86*3))</f>
        <v>2</v>
      </c>
      <c r="CM86" s="3">
        <f>IF(W86&gt;0,8,0)</f>
        <v>0</v>
      </c>
      <c r="CN86" s="3">
        <f>IF(X86&gt;0,4,0)</f>
        <v>4</v>
      </c>
    </row>
    <row r="87" spans="1:92">
      <c r="A87" s="3" t="str">
        <f>IF(DruidLevel&lt;B87,"",CHAR(9)&amp;"&lt;monster&gt;"&amp;CHAR(13)&amp;CHAR(9)&amp;CHAR(9)&amp;"&lt;name&gt;"&amp;L87&amp;" (Wild Shape)&lt;/name&gt;"&amp;CHAR(13)&amp;CHAR(9)&amp;CHAR(9)&amp;"&lt;size&gt;"&amp;LEFT(P87,1)&amp;"&lt;/size&gt;"&amp;CHAR(13)&amp;CHAR(9)&amp;CHAR(9)&amp;"&lt;type&gt;"&amp;M87&amp;"&lt;/type&gt;"&amp;CHAR(13)&amp;CHAR(9)&amp;CHAR(9)&amp;"&lt;alignment&gt;"&amp;N87&amp;"&lt;/alignment&gt;"&amp;CHAR(13)&amp;CHAR(9)&amp;CHAR(9)&amp;"&lt;ac&gt;"&amp;Q87&amp;IF(ISBLANK(R87),""," ("&amp;R87&amp;")")&amp;"&lt;/ac&gt;"&amp;CHAR(13)&amp;CHAR(9)&amp;CHAR(9)&amp;"&lt;hp&gt;"&amp;S87&amp;"&lt;/hp&gt;"&amp;CHAR(13)&amp;CHAR(9)&amp;CHAR(9)&amp;"&lt;speed&gt;"&amp;E87&amp;"&lt;/speed&gt;"&amp;CHAR(13)&amp;CHAR(9)&amp;CHAR(9)&amp;"&lt;str&gt;"&amp;Y87&amp;"&lt;/str&gt;&lt;dex&gt;"&amp;Z87&amp;"&lt;/dex&gt;&lt;con&gt;"&amp;AA87&amp;"&lt;/con&gt;&lt;int&gt;"&amp;AB87&amp;"&lt;/int&gt;&lt;wis&gt;"&amp;AC87&amp;"&lt;/wis&gt;&lt;cha&gt;"&amp;AD87&amp;"&lt;/cha&gt;"&amp;CHAR(13)&amp;CHAR(9)&amp;CHAR(9)&amp;"&lt;save&gt;"&amp;AK87&amp;"&lt;/save&gt;"&amp;CHAR(13)&amp;CHAR(9)&amp;CHAR(9)&amp;"&lt;skill&gt;"&amp;AJ87&amp;"&lt;/skill&gt;"&amp;CHAR(13)&amp;CHAR(9)&amp;CHAR(9)&amp;"&lt;vulnerable&gt;"&amp;AO87&amp;"&lt;/vulnerable&gt;"&amp;CHAR(13)&amp;CHAR(9)&amp;CHAR(9)&amp;"&lt;resist&gt;"&amp;AP87&amp;"&lt;/resist&gt;"&amp;CHAR(13)&amp;CHAR(9)&amp;CHAR(9)&amp;"&lt;immune&gt;"&amp;AQ87&amp;"&lt;/immune&gt;"&amp;CHAR(13)&amp;CHAR(9)&amp;CHAR(9)&amp;"&lt;conditionImmune&gt;"&amp;AR87&amp;"&lt;/conditionImmune&gt;"&amp;CHAR(13)&amp;CHAR(9)&amp;CHAR(9)&amp;"&lt;senses&gt;"&amp;AM87&amp;"&lt;/senses&gt;"&amp;CHAR(13)&amp;CHAR(9)&amp;CHAR(9)&amp;"&lt;passive&gt;"&amp;AN87&amp;"&lt;/passive&gt;"&amp;CHAR(13)&amp;CHAR(9)&amp;CHAR(9)&amp;"&lt;languages&gt;"&amp;AS87&amp;"&lt;/languages&gt;"&amp;CHAR(13)&amp;CHAR(9)&amp;CHAR(9)&amp;"&lt;cr&gt;"&amp;O87&amp;"&lt;/cr&gt;"&amp;F87&amp;G87&amp;H87&amp;I87&amp;J87&amp;K87&amp;IF(C87="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7" s="3">
        <f>IF(COTM=TRUE,MAX(CL87,CM87,CN87),MAX(CK87,CM87,CN87))</f>
        <v>2</v>
      </c>
      <c r="C87" s="11" t="str">
        <f>IF(COTM=FALSE,"",IF(DruidLevel&gt;5,"Y",""))</f>
        <v/>
      </c>
      <c r="D87" s="3" t="s">
        <v>173</v>
      </c>
      <c r="E87" s="3" t="str">
        <f>T87&amp;" ft."&amp;IF(U87+V87+W87+X87=0,"",", ")&amp;IF(ISBLANK(U87),"","burrow "&amp;U87&amp;" ft."&amp;IF(V87+W87+X87=0,"",", "))&amp;IF(ISBLANK(V87),"","climb "&amp;V87&amp;" ft."&amp;IF(W87+X87=0,"",", "))&amp;IF(ISBLANK(W87),"","fly "&amp;W87&amp;" ft."&amp;IF(X87=0,"",", "))&amp;IF(ISBLANK(X87),"","swim "&amp;X87&amp;" ft.")</f>
        <v>20 ft., climb 20 ft.</v>
      </c>
      <c r="F87" s="3" t="str">
        <f>IF(ISBLANK(AT87),"",CHAR(13)&amp;CHAR(9)&amp;CHAR(9)&amp;"&lt;"&amp;AU87&amp;"&gt;"&amp;CHAR(13)&amp;CHAR(9)&amp;CHAR(9)&amp;CHAR(9)&amp;"&lt;name&gt;"&amp;AT87&amp;"&lt;/name&gt;"&amp;CHAR(13)&amp;CHAR(9)&amp;CHAR(9)&amp;CHAR(9)&amp;"&lt;text&gt;"&amp;AV87&amp;"&lt;/text&gt;"&amp;IF(ISBLANK(AX87),"",CHAR(13)&amp;CHAR(9)&amp;CHAR(9)&amp;CHAR(9)&amp;"&lt;attack&gt;"&amp;AX87&amp;"|"&amp;AY87&amp;"|"&amp;AZ87&amp;"&lt;/attack&gt;")&amp;CHAR(13)&amp;CHAR(9)&amp;CHAR(9)&amp;"&lt;/"&amp;AU87&amp;"&gt;")</f>
        <v>_x000D_		&lt;trait&gt;_x000D_			&lt;name&gt;Spider Climb&lt;/name&gt;_x000D_			&lt;text&gt;The spider can climb difficult surfaces, including upside down on ceilings, without needing to make an ability check.&lt;/text&gt;_x000D_		&lt;/trait&gt;</v>
      </c>
      <c r="G87" s="3" t="str">
        <f>IF(ISBLANK(BA87),"",CHAR(13)&amp;CHAR(9)&amp;CHAR(9)&amp;"&lt;"&amp;BB87&amp;"&gt;"&amp;CHAR(13)&amp;CHAR(9)&amp;CHAR(9)&amp;CHAR(9)&amp;"&lt;name&gt;"&amp;BA87&amp;"&lt;/name&gt;"&amp;CHAR(13)&amp;CHAR(9)&amp;CHAR(9)&amp;CHAR(9)&amp;"&lt;text&gt;"&amp;BC87&amp;"&lt;/text&gt;"&amp;IF(ISBLANK(BE87),"",CHAR(13)&amp;CHAR(9)&amp;CHAR(9)&amp;CHAR(9)&amp;"&lt;attack&gt;"&amp;BE87&amp;"|"&amp;BF87&amp;"|"&amp;BG87&amp;"&lt;/attack&gt;")&amp;CHAR(13)&amp;CHAR(9)&amp;CHAR(9)&amp;"&lt;/"&amp;BB87&amp;"&gt;")</f>
        <v>_x000D_		&lt;trait&gt;_x000D_			&lt;name&gt;Web Sense&lt;/name&gt;_x000D_			&lt;text&gt;While in contact with a web, the spider knows the exact location of any other creature in contact with the same web.&lt;/text&gt;_x000D_		&lt;/trait&gt;</v>
      </c>
      <c r="H87" s="3" t="str">
        <f>IF(ISBLANK(BH87),"",CHAR(13)&amp;CHAR(9)&amp;CHAR(9)&amp;"&lt;"&amp;BI87&amp;"&gt;"&amp;CHAR(13)&amp;CHAR(9)&amp;CHAR(9)&amp;CHAR(9)&amp;"&lt;name&gt;"&amp;BH87&amp;"&lt;/name&gt;"&amp;CHAR(13)&amp;CHAR(9)&amp;CHAR(9)&amp;CHAR(9)&amp;"&lt;text&gt;"&amp;BJ87&amp;"&lt;/text&gt;"&amp;IF(ISBLANK(BL87),"",CHAR(13)&amp;CHAR(9)&amp;CHAR(9)&amp;CHAR(9)&amp;"&lt;attack&gt;"&amp;BL87&amp;"|"&amp;BM87&amp;"|"&amp;BN87&amp;"&lt;/attack&gt;")&amp;CHAR(13)&amp;CHAR(9)&amp;CHAR(9)&amp;"&lt;/"&amp;BI87&amp;"&gt;")</f>
        <v>_x000D_		&lt;trait&gt;_x000D_			&lt;name&gt;Web Walker&lt;/name&gt;_x000D_			&lt;text&gt;The spider ignores movement restrictions caused by webbing.&lt;/text&gt;_x000D_		&lt;/trait&gt;</v>
      </c>
      <c r="I87" s="3" t="str">
        <f>IF(ISBLANK(BO87),"",CHAR(13)&amp;CHAR(9)&amp;CHAR(9)&amp;"&lt;"&amp;BP87&amp;"&gt;"&amp;CHAR(13)&amp;CHAR(9)&amp;CHAR(9)&amp;CHAR(9)&amp;"&lt;name&gt;"&amp;BO87&amp;"&lt;/name&gt;"&amp;CHAR(13)&amp;CHAR(9)&amp;CHAR(9)&amp;CHAR(9)&amp;"&lt;text&gt;"&amp;BQ87&amp;"&lt;/text&gt;"&amp;IF(ISBLANK(BS87),"",CHAR(13)&amp;CHAR(9)&amp;CHAR(9)&amp;CHAR(9)&amp;"&lt;attack&gt;"&amp;BS87&amp;"|"&amp;BT87&amp;"|"&amp;BU87&amp;"&lt;/attack&gt;")&amp;CHAR(13)&amp;CHAR(9)&amp;CHAR(9)&amp;"&lt;/"&amp;BP87&amp;"&gt;")</f>
        <v>_x000D_		&lt;action&gt;_x000D_			&lt;name&gt;Bite&lt;/name&gt;_x000D_			&lt;text&gt;Melee Weapon Attack: +4 to hit, reach 5 ft., one creature. Hit: 1 piercing damage, and the target must succeed on a DC 9 Constitution saving throw or take 2 (1d4) poison damage.&lt;/text&gt;_x000D_			&lt;attack&gt;Bite|4|1&lt;/attack&gt;_x000D_		&lt;/action&gt;</v>
      </c>
      <c r="J87" s="3" t="str">
        <f>IF(ISBLANK(BV87),"",CHAR(13)&amp;CHAR(9)&amp;CHAR(9)&amp;"&lt;"&amp;BW87&amp;"&gt;"&amp;CHAR(13)&amp;CHAR(9)&amp;CHAR(9)&amp;CHAR(9)&amp;"&lt;name&gt;"&amp;BV87&amp;"&lt;/name&gt;"&amp;CHAR(13)&amp;CHAR(9)&amp;CHAR(9)&amp;CHAR(9)&amp;"&lt;text&gt;"&amp;BX87&amp;"&lt;/text&gt;"&amp;IF(ISBLANK(BZ87),"",CHAR(13)&amp;CHAR(9)&amp;CHAR(9)&amp;CHAR(9)&amp;"&lt;attack&gt;"&amp;BZ87&amp;"|"&amp;CA87&amp;"|"&amp;CB87&amp;"&lt;/attack&gt;")&amp;CHAR(13)&amp;CHAR(9)&amp;CHAR(9)&amp;"&lt;/"&amp;BW87&amp;"&gt;")</f>
        <v/>
      </c>
      <c r="K87" s="3" t="str">
        <f>IF(ISBLANK(CC87),"",CHAR(13)&amp;CHAR(9)&amp;CHAR(9)&amp;"&lt;"&amp;CD87&amp;"&gt;"&amp;CHAR(13)&amp;CHAR(9)&amp;CHAR(9)&amp;CHAR(9)&amp;"&lt;name&gt;"&amp;CC87&amp;"&lt;/name&gt;"&amp;CHAR(13)&amp;CHAR(9)&amp;CHAR(9)&amp;CHAR(9)&amp;"&lt;text&gt;"&amp;CE87&amp;"&lt;/text&gt;"&amp;IF(ISBLANK(CG87),"",CHAR(13)&amp;CHAR(9)&amp;CHAR(9)&amp;CHAR(9)&amp;"&lt;attack&gt;"&amp;CG87&amp;"|"&amp;CH87&amp;"|"&amp;CI87&amp;"&lt;/attack&gt;")&amp;CHAR(13)&amp;CHAR(9)&amp;CHAR(9)&amp;"&lt;/"&amp;CD87&amp;"&gt;")</f>
        <v/>
      </c>
      <c r="L87" s="1" t="s">
        <v>26</v>
      </c>
      <c r="M87" s="1" t="s">
        <v>275</v>
      </c>
      <c r="N87" s="1">
        <f>DruidAlignment</f>
        <v>0</v>
      </c>
      <c r="O87" s="2">
        <v>0</v>
      </c>
      <c r="P87" s="1" t="s">
        <v>0</v>
      </c>
      <c r="Q87" s="1">
        <v>12</v>
      </c>
      <c r="R87" s="1"/>
      <c r="S87" s="1">
        <v>1</v>
      </c>
      <c r="T87" s="1">
        <v>20</v>
      </c>
      <c r="V87" s="1">
        <v>20</v>
      </c>
      <c r="Y87" s="1">
        <v>2</v>
      </c>
      <c r="Z87" s="1">
        <v>14</v>
      </c>
      <c r="AA87" s="1">
        <v>8</v>
      </c>
      <c r="AB87" s="10">
        <f>DruidInt</f>
        <v>0</v>
      </c>
      <c r="AC87" s="10">
        <f>DruidWis</f>
        <v>0</v>
      </c>
      <c r="AD87" s="10">
        <f>DruidCha</f>
        <v>0</v>
      </c>
      <c r="AE87" s="12"/>
      <c r="AF87" s="12">
        <v>2</v>
      </c>
      <c r="AG87" s="12">
        <v>4</v>
      </c>
      <c r="AH87" s="12" t="s">
        <v>173</v>
      </c>
      <c r="AI87" s="12" t="str">
        <f>IF(ISBLANK(DruidAcrobatics),"",", Acrobatics +"&amp;DruidAcrobatics)&amp;IF(ISBLANK(DruidAnimalHandling),"",", Animal Handling +"&amp;DruidAnimalHandling)&amp;IF(ISBLANK(DruidArcana),"",", Arcana +"&amp;DruidArcana)&amp;IF(DruidAthletics+AE87=0,"",", Athletics +"&amp;MAX(DruidAthletics,AE87))&amp;IF(ISBLANK(DruidDeception),"",",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+"&amp;DruidNature)&amp;IF(DruidPerception+AF87=0,"",", Perception +"&amp;MAX(DruidPerception,AF87))&amp;IF(ISBLANK(DruidPerformance),"",", Performance +"&amp;DruidPerformance)&amp;IF(ISBLANK(DruidPersuasion),"",", Persuasion +"&amp;DruidPersuasion)&amp;IF(ISBLANK(DruidReligion),"",", Religion +"&amp;DruidReligion)&amp;IF(ISBLANK(DruidSleightofHand),"",", Sleight of Hand +"&amp;DruidSleightofHand)&amp;IF(DruidStealth+AG87=0,"",", Stealth +"&amp;MAX(DruidStealth,AG87))&amp;IF(ISBLANK(DruidSurvival),"",", Survival +"&amp;DruidSurvival)</f>
        <v>, Perception +2, Stealth +4</v>
      </c>
      <c r="AJ87" s="1" t="str">
        <f>RIGHT(AI87,LEN(AI87)-2)</f>
        <v>Perception +2, Stealth +4</v>
      </c>
      <c r="AK87"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7" s="1" t="s">
        <v>173</v>
      </c>
      <c r="AM87" s="1" t="s">
        <v>178</v>
      </c>
      <c r="AN87" s="3">
        <f>IF(DruidPerception+AF87=0,10+(ROUNDDOWN((AC87-10)/2,0)),10+MAX(DruidPerception,AF87))</f>
        <v>12</v>
      </c>
      <c r="AO87" s="1"/>
      <c r="AP87" s="1"/>
      <c r="AQ87" s="1"/>
      <c r="AR87" s="1"/>
      <c r="AS87" s="1"/>
      <c r="AT87" s="3" t="s">
        <v>323</v>
      </c>
      <c r="AU87" s="3" t="s">
        <v>148</v>
      </c>
      <c r="AV87" s="3" t="s">
        <v>324</v>
      </c>
      <c r="AW87" s="3" t="s">
        <v>173</v>
      </c>
      <c r="AZ87" s="3"/>
      <c r="BA87" s="3" t="s">
        <v>325</v>
      </c>
      <c r="BB87" s="3" t="s">
        <v>148</v>
      </c>
      <c r="BC87" s="3" t="s">
        <v>326</v>
      </c>
      <c r="BD87" s="3" t="s">
        <v>173</v>
      </c>
      <c r="BG87" s="3"/>
      <c r="BH87" s="3" t="s">
        <v>327</v>
      </c>
      <c r="BI87" s="3" t="s">
        <v>148</v>
      </c>
      <c r="BJ87" s="3" t="s">
        <v>328</v>
      </c>
      <c r="BK87" s="3" t="s">
        <v>173</v>
      </c>
      <c r="BN87" s="3"/>
      <c r="BO87" s="3" t="s">
        <v>161</v>
      </c>
      <c r="BP87" s="3" t="s">
        <v>150</v>
      </c>
      <c r="BQ87" s="3" t="s">
        <v>393</v>
      </c>
      <c r="BR87" s="3" t="s">
        <v>173</v>
      </c>
      <c r="BS87" s="3" t="s">
        <v>161</v>
      </c>
      <c r="BT87" s="3">
        <v>4</v>
      </c>
      <c r="BU87" s="3">
        <v>1</v>
      </c>
      <c r="BY87" s="3" t="s">
        <v>173</v>
      </c>
      <c r="CJ87" s="6">
        <v>0</v>
      </c>
      <c r="CK87" s="6">
        <f>IF(CJ87&lt;0.26,2,IF(CJ87&lt;0.51,4,IF(CJ87&lt;1.1,8,99)))</f>
        <v>2</v>
      </c>
      <c r="CL87" s="3">
        <f>IF(M87="Elemental",10,IF(CJ87&lt;2,2,CJ87*3))</f>
        <v>2</v>
      </c>
      <c r="CM87" s="3">
        <f>IF(W87&gt;0,8,0)</f>
        <v>0</v>
      </c>
      <c r="CN87" s="3">
        <f>IF(X87&gt;0,4,0)</f>
        <v>0</v>
      </c>
    </row>
    <row r="88" spans="1:92">
      <c r="A88" s="3" t="str">
        <f>IF(DruidLevel&lt;B88,"",CHAR(9)&amp;"&lt;monster&gt;"&amp;CHAR(13)&amp;CHAR(9)&amp;CHAR(9)&amp;"&lt;name&gt;"&amp;L88&amp;" (Wild Shape)&lt;/name&gt;"&amp;CHAR(13)&amp;CHAR(9)&amp;CHAR(9)&amp;"&lt;size&gt;"&amp;LEFT(P88,1)&amp;"&lt;/size&gt;"&amp;CHAR(13)&amp;CHAR(9)&amp;CHAR(9)&amp;"&lt;type&gt;"&amp;M88&amp;"&lt;/type&gt;"&amp;CHAR(13)&amp;CHAR(9)&amp;CHAR(9)&amp;"&lt;alignment&gt;"&amp;N88&amp;"&lt;/alignment&gt;"&amp;CHAR(13)&amp;CHAR(9)&amp;CHAR(9)&amp;"&lt;ac&gt;"&amp;Q88&amp;IF(ISBLANK(R88),""," ("&amp;R88&amp;")")&amp;"&lt;/ac&gt;"&amp;CHAR(13)&amp;CHAR(9)&amp;CHAR(9)&amp;"&lt;hp&gt;"&amp;S88&amp;"&lt;/hp&gt;"&amp;CHAR(13)&amp;CHAR(9)&amp;CHAR(9)&amp;"&lt;speed&gt;"&amp;E88&amp;"&lt;/speed&gt;"&amp;CHAR(13)&amp;CHAR(9)&amp;CHAR(9)&amp;"&lt;str&gt;"&amp;Y88&amp;"&lt;/str&gt;&lt;dex&gt;"&amp;Z88&amp;"&lt;/dex&gt;&lt;con&gt;"&amp;AA88&amp;"&lt;/con&gt;&lt;int&gt;"&amp;AB88&amp;"&lt;/int&gt;&lt;wis&gt;"&amp;AC88&amp;"&lt;/wis&gt;&lt;cha&gt;"&amp;AD88&amp;"&lt;/cha&gt;"&amp;CHAR(13)&amp;CHAR(9)&amp;CHAR(9)&amp;"&lt;save&gt;"&amp;AK88&amp;"&lt;/save&gt;"&amp;CHAR(13)&amp;CHAR(9)&amp;CHAR(9)&amp;"&lt;skill&gt;"&amp;AJ88&amp;"&lt;/skill&gt;"&amp;CHAR(13)&amp;CHAR(9)&amp;CHAR(9)&amp;"&lt;vulnerable&gt;"&amp;AO88&amp;"&lt;/vulnerable&gt;"&amp;CHAR(13)&amp;CHAR(9)&amp;CHAR(9)&amp;"&lt;resist&gt;"&amp;AP88&amp;"&lt;/resist&gt;"&amp;CHAR(13)&amp;CHAR(9)&amp;CHAR(9)&amp;"&lt;immune&gt;"&amp;AQ88&amp;"&lt;/immune&gt;"&amp;CHAR(13)&amp;CHAR(9)&amp;CHAR(9)&amp;"&lt;conditionImmune&gt;"&amp;AR88&amp;"&lt;/conditionImmune&gt;"&amp;CHAR(13)&amp;CHAR(9)&amp;CHAR(9)&amp;"&lt;senses&gt;"&amp;AM88&amp;"&lt;/senses&gt;"&amp;CHAR(13)&amp;CHAR(9)&amp;CHAR(9)&amp;"&lt;passive&gt;"&amp;AN88&amp;"&lt;/passive&gt;"&amp;CHAR(13)&amp;CHAR(9)&amp;CHAR(9)&amp;"&lt;languages&gt;"&amp;AS88&amp;"&lt;/languages&gt;"&amp;CHAR(13)&amp;CHAR(9)&amp;CHAR(9)&amp;"&lt;cr&gt;"&amp;O88&amp;"&lt;/cr&gt;"&amp;F88&amp;G88&amp;H88&amp;I88&amp;J88&amp;K88&amp;IF(C88="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8" s="3">
        <f>IF(COTM=TRUE,MAX(CL88,CM88,CN88),MAX(CK88,CM88,CN88))</f>
        <v>8</v>
      </c>
      <c r="C88" s="11" t="str">
        <f>IF(COTM=FALSE,"",IF(DruidLevel&gt;5,"Y",""))</f>
        <v/>
      </c>
      <c r="D88" s="3" t="s">
        <v>173</v>
      </c>
      <c r="E88" s="3" t="str">
        <f>T88&amp;" ft."&amp;IF(U88+V88+W88+X88=0,"",", ")&amp;IF(ISBLANK(U88),"","burrow "&amp;U88&amp;" ft."&amp;IF(V88+W88+X88=0,"",", "))&amp;IF(ISBLANK(V88),"","climb "&amp;V88&amp;" ft."&amp;IF(W88+X88=0,"",", "))&amp;IF(ISBLANK(W88),"","fly "&amp;W88&amp;" ft."&amp;IF(X88=0,"",", "))&amp;IF(ISBLANK(X88),"","swim "&amp;X88&amp;" ft.")</f>
        <v>10 ft., fly 40 ft.</v>
      </c>
      <c r="F88" s="3" t="str">
        <f>IF(ISBLANK(AT88),"",CHAR(13)&amp;CHAR(9)&amp;CHAR(9)&amp;"&lt;"&amp;AU88&amp;"&gt;"&amp;CHAR(13)&amp;CHAR(9)&amp;CHAR(9)&amp;CHAR(9)&amp;"&lt;name&gt;"&amp;AT88&amp;"&lt;/name&gt;"&amp;CHAR(13)&amp;CHAR(9)&amp;CHAR(9)&amp;CHAR(9)&amp;"&lt;text&gt;"&amp;AV88&amp;"&lt;/text&gt;"&amp;IF(ISBLANK(AX88),"",CHAR(13)&amp;CHAR(9)&amp;CHAR(9)&amp;CHAR(9)&amp;"&lt;attack&gt;"&amp;AX88&amp;"|"&amp;AY88&amp;"|"&amp;AZ88&amp;"&lt;/attack&gt;")&amp;CHAR(13)&amp;CHAR(9)&amp;CHAR(9)&amp;"&lt;/"&amp;AU88&amp;"&gt;")</f>
        <v>_x000D_		&lt;action&gt;_x000D_			&lt;name&gt;Blood Drain&lt;/name&gt;_x000D_			&lt;text&gt;Melee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stirge.&lt;/text&gt;_x000D_			&lt;attack&gt;Blood Drain|5|1d4+3&lt;/attack&gt;_x000D_		&lt;/action&gt;</v>
      </c>
      <c r="G88" s="3" t="str">
        <f>IF(ISBLANK(BA88),"",CHAR(13)&amp;CHAR(9)&amp;CHAR(9)&amp;"&lt;"&amp;BB88&amp;"&gt;"&amp;CHAR(13)&amp;CHAR(9)&amp;CHAR(9)&amp;CHAR(9)&amp;"&lt;name&gt;"&amp;BA88&amp;"&lt;/name&gt;"&amp;CHAR(13)&amp;CHAR(9)&amp;CHAR(9)&amp;CHAR(9)&amp;"&lt;text&gt;"&amp;BC88&amp;"&lt;/text&gt;"&amp;IF(ISBLANK(BE88),"",CHAR(13)&amp;CHAR(9)&amp;CHAR(9)&amp;CHAR(9)&amp;"&lt;attack&gt;"&amp;BE88&amp;"|"&amp;BF88&amp;"|"&amp;BG88&amp;"&lt;/attack&gt;")&amp;CHAR(13)&amp;CHAR(9)&amp;CHAR(9)&amp;"&lt;/"&amp;BB88&amp;"&gt;")</f>
        <v/>
      </c>
      <c r="H88" s="3" t="str">
        <f>IF(ISBLANK(BH88),"",CHAR(13)&amp;CHAR(9)&amp;CHAR(9)&amp;"&lt;"&amp;BI88&amp;"&gt;"&amp;CHAR(13)&amp;CHAR(9)&amp;CHAR(9)&amp;CHAR(9)&amp;"&lt;name&gt;"&amp;BH88&amp;"&lt;/name&gt;"&amp;CHAR(13)&amp;CHAR(9)&amp;CHAR(9)&amp;CHAR(9)&amp;"&lt;text&gt;"&amp;BJ88&amp;"&lt;/text&gt;"&amp;IF(ISBLANK(BL88),"",CHAR(13)&amp;CHAR(9)&amp;CHAR(9)&amp;CHAR(9)&amp;"&lt;attack&gt;"&amp;BL88&amp;"|"&amp;BM88&amp;"|"&amp;BN88&amp;"&lt;/attack&gt;")&amp;CHAR(13)&amp;CHAR(9)&amp;CHAR(9)&amp;"&lt;/"&amp;BI88&amp;"&gt;")</f>
        <v/>
      </c>
      <c r="I88" s="3" t="str">
        <f>IF(ISBLANK(BO88),"",CHAR(13)&amp;CHAR(9)&amp;CHAR(9)&amp;"&lt;"&amp;BP88&amp;"&gt;"&amp;CHAR(13)&amp;CHAR(9)&amp;CHAR(9)&amp;CHAR(9)&amp;"&lt;name&gt;"&amp;BO88&amp;"&lt;/name&gt;"&amp;CHAR(13)&amp;CHAR(9)&amp;CHAR(9)&amp;CHAR(9)&amp;"&lt;text&gt;"&amp;BQ88&amp;"&lt;/text&gt;"&amp;IF(ISBLANK(BS88),"",CHAR(13)&amp;CHAR(9)&amp;CHAR(9)&amp;CHAR(9)&amp;"&lt;attack&gt;"&amp;BS88&amp;"|"&amp;BT88&amp;"|"&amp;BU88&amp;"&lt;/attack&gt;")&amp;CHAR(13)&amp;CHAR(9)&amp;CHAR(9)&amp;"&lt;/"&amp;BP88&amp;"&gt;")</f>
        <v/>
      </c>
      <c r="J88" s="3" t="str">
        <f>IF(ISBLANK(BV88),"",CHAR(13)&amp;CHAR(9)&amp;CHAR(9)&amp;"&lt;"&amp;BW88&amp;"&gt;"&amp;CHAR(13)&amp;CHAR(9)&amp;CHAR(9)&amp;CHAR(9)&amp;"&lt;name&gt;"&amp;BV88&amp;"&lt;/name&gt;"&amp;CHAR(13)&amp;CHAR(9)&amp;CHAR(9)&amp;CHAR(9)&amp;"&lt;text&gt;"&amp;BX88&amp;"&lt;/text&gt;"&amp;IF(ISBLANK(BZ88),"",CHAR(13)&amp;CHAR(9)&amp;CHAR(9)&amp;CHAR(9)&amp;"&lt;attack&gt;"&amp;BZ88&amp;"|"&amp;CA88&amp;"|"&amp;CB88&amp;"&lt;/attack&gt;")&amp;CHAR(13)&amp;CHAR(9)&amp;CHAR(9)&amp;"&lt;/"&amp;BW88&amp;"&gt;")</f>
        <v/>
      </c>
      <c r="K88" s="3" t="str">
        <f>IF(ISBLANK(CC88),"",CHAR(13)&amp;CHAR(9)&amp;CHAR(9)&amp;"&lt;"&amp;CD88&amp;"&gt;"&amp;CHAR(13)&amp;CHAR(9)&amp;CHAR(9)&amp;CHAR(9)&amp;"&lt;name&gt;"&amp;CC88&amp;"&lt;/name&gt;"&amp;CHAR(13)&amp;CHAR(9)&amp;CHAR(9)&amp;CHAR(9)&amp;"&lt;text&gt;"&amp;CE88&amp;"&lt;/text&gt;"&amp;IF(ISBLANK(CG88),"",CHAR(13)&amp;CHAR(9)&amp;CHAR(9)&amp;CHAR(9)&amp;"&lt;attack&gt;"&amp;CG88&amp;"|"&amp;CH88&amp;"|"&amp;CI88&amp;"&lt;/attack&gt;")&amp;CHAR(13)&amp;CHAR(9)&amp;CHAR(9)&amp;"&lt;/"&amp;CD88&amp;"&gt;")</f>
        <v/>
      </c>
      <c r="L88" s="1" t="s">
        <v>96</v>
      </c>
      <c r="M88" s="1" t="s">
        <v>275</v>
      </c>
      <c r="N88" s="1">
        <f>DruidAlignment</f>
        <v>0</v>
      </c>
      <c r="O88" s="5" t="s">
        <v>207</v>
      </c>
      <c r="P88" s="1" t="s">
        <v>0</v>
      </c>
      <c r="Q88" s="1">
        <v>14</v>
      </c>
      <c r="R88" s="1" t="s">
        <v>405</v>
      </c>
      <c r="S88" s="1">
        <v>2</v>
      </c>
      <c r="T88" s="1">
        <v>10</v>
      </c>
      <c r="W88" s="1">
        <v>40</v>
      </c>
      <c r="Y88" s="1">
        <v>4</v>
      </c>
      <c r="Z88" s="1">
        <v>16</v>
      </c>
      <c r="AA88" s="1">
        <v>11</v>
      </c>
      <c r="AB88" s="10">
        <f>DruidInt</f>
        <v>0</v>
      </c>
      <c r="AC88" s="10">
        <f>DruidWis</f>
        <v>0</v>
      </c>
      <c r="AD88" s="10">
        <f>DruidCha</f>
        <v>0</v>
      </c>
      <c r="AE88" s="12"/>
      <c r="AF88" s="12">
        <v>3</v>
      </c>
      <c r="AG88" s="12"/>
      <c r="AH88" s="12" t="s">
        <v>173</v>
      </c>
      <c r="AI88" s="12" t="str">
        <f>IF(ISBLANK(DruidAcrobatics),"",", Acrobatics +"&amp;DruidAcrobatics)&amp;IF(ISBLANK(DruidAnimalHandling),"",", Animal Handling +"&amp;DruidAnimalHandling)&amp;IF(ISBLANK(DruidArcana),"",", Arcana +"&amp;DruidArcana)&amp;IF(DruidAthletics+AE88=0,"",", Athletics +"&amp;MAX(DruidAthletics,AE88))&amp;IF(ISBLANK(DruidDeception),"",",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+"&amp;DruidNature)&amp;IF(DruidPerception+AF88=0,"",", Perception +"&amp;MAX(DruidPerception,AF88))&amp;IF(ISBLANK(DruidPerformance),"",", Performance +"&amp;DruidPerformance)&amp;IF(ISBLANK(DruidPersuasion),"",", Persuasion +"&amp;DruidPersuasion)&amp;IF(ISBLANK(DruidReligion),"",", Religion +"&amp;DruidReligion)&amp;IF(ISBLANK(DruidSleightofHand),"",", Sleight of Hand +"&amp;DruidSleightofHand)&amp;IF(DruidStealth+AG88=0,"",", Stealth +"&amp;MAX(DruidStealth,AG88))&amp;IF(ISBLANK(DruidSurvival),"",", Survival +"&amp;DruidSurvival)</f>
        <v>, Perception +3</v>
      </c>
      <c r="AJ88" s="1" t="str">
        <f>RIGHT(AI88,LEN(AI88)-2)</f>
        <v>Perception +3</v>
      </c>
      <c r="AK88"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8" s="1" t="s">
        <v>173</v>
      </c>
      <c r="AM88" s="3" t="s">
        <v>176</v>
      </c>
      <c r="AN88" s="3">
        <f>IF(DruidPerception+AF88=0,10+(ROUNDDOWN((AC88-10)/2,0)),10+MAX(DruidPerception,AF88))</f>
        <v>13</v>
      </c>
      <c r="AO88" s="1"/>
      <c r="AP88" s="1"/>
      <c r="AQ88" s="1"/>
      <c r="AR88" s="1"/>
      <c r="AS88" s="1"/>
      <c r="AT88" s="3" t="s">
        <v>394</v>
      </c>
      <c r="AU88" s="3" t="s">
        <v>150</v>
      </c>
      <c r="AV88" s="3" t="s">
        <v>517</v>
      </c>
      <c r="AW88" s="3" t="s">
        <v>173</v>
      </c>
      <c r="AX88" s="3" t="s">
        <v>394</v>
      </c>
      <c r="AY88" s="3">
        <v>5</v>
      </c>
      <c r="AZ88" s="9" t="s">
        <v>209</v>
      </c>
      <c r="BD88" s="3" t="s">
        <v>173</v>
      </c>
      <c r="BG88" s="9"/>
      <c r="BK88" s="3" t="s">
        <v>173</v>
      </c>
      <c r="BN88" s="9"/>
      <c r="BR88" s="3" t="s">
        <v>173</v>
      </c>
      <c r="BY88" s="3" t="s">
        <v>173</v>
      </c>
      <c r="CJ88" s="6">
        <v>0.125</v>
      </c>
      <c r="CK88" s="6">
        <f>IF(CJ88&lt;0.26,2,IF(CJ88&lt;0.51,4,IF(CJ88&lt;1.1,8,99)))</f>
        <v>2</v>
      </c>
      <c r="CL88" s="3">
        <f>IF(M88="Elemental",10,IF(CJ88&lt;2,2,CJ88*3))</f>
        <v>2</v>
      </c>
      <c r="CM88" s="3">
        <f>IF(W88&gt;0,8,0)</f>
        <v>8</v>
      </c>
      <c r="CN88" s="3">
        <f>IF(X88&gt;0,4,0)</f>
        <v>0</v>
      </c>
    </row>
    <row r="89" spans="1:92">
      <c r="A89" s="3" t="str">
        <f>IF(DruidLevel&lt;B89,"",CHAR(9)&amp;"&lt;monster&gt;"&amp;CHAR(13)&amp;CHAR(9)&amp;CHAR(9)&amp;"&lt;name&gt;"&amp;L89&amp;" (Wild Shape)&lt;/name&gt;"&amp;CHAR(13)&amp;CHAR(9)&amp;CHAR(9)&amp;"&lt;size&gt;"&amp;LEFT(P89,1)&amp;"&lt;/size&gt;"&amp;CHAR(13)&amp;CHAR(9)&amp;CHAR(9)&amp;"&lt;type&gt;"&amp;M89&amp;"&lt;/type&gt;"&amp;CHAR(13)&amp;CHAR(9)&amp;CHAR(9)&amp;"&lt;alignment&gt;"&amp;N89&amp;"&lt;/alignment&gt;"&amp;CHAR(13)&amp;CHAR(9)&amp;CHAR(9)&amp;"&lt;ac&gt;"&amp;Q89&amp;IF(ISBLANK(R89),""," ("&amp;R89&amp;")")&amp;"&lt;/ac&gt;"&amp;CHAR(13)&amp;CHAR(9)&amp;CHAR(9)&amp;"&lt;hp&gt;"&amp;S89&amp;"&lt;/hp&gt;"&amp;CHAR(13)&amp;CHAR(9)&amp;CHAR(9)&amp;"&lt;speed&gt;"&amp;E89&amp;"&lt;/speed&gt;"&amp;CHAR(13)&amp;CHAR(9)&amp;CHAR(9)&amp;"&lt;str&gt;"&amp;Y89&amp;"&lt;/str&gt;&lt;dex&gt;"&amp;Z89&amp;"&lt;/dex&gt;&lt;con&gt;"&amp;AA89&amp;"&lt;/con&gt;&lt;int&gt;"&amp;AB89&amp;"&lt;/int&gt;&lt;wis&gt;"&amp;AC89&amp;"&lt;/wis&gt;&lt;cha&gt;"&amp;AD89&amp;"&lt;/cha&gt;"&amp;CHAR(13)&amp;CHAR(9)&amp;CHAR(9)&amp;"&lt;save&gt;"&amp;AK89&amp;"&lt;/save&gt;"&amp;CHAR(13)&amp;CHAR(9)&amp;CHAR(9)&amp;"&lt;skill&gt;"&amp;AJ89&amp;"&lt;/skill&gt;"&amp;CHAR(13)&amp;CHAR(9)&amp;CHAR(9)&amp;"&lt;vulnerable&gt;"&amp;AO89&amp;"&lt;/vulnerable&gt;"&amp;CHAR(13)&amp;CHAR(9)&amp;CHAR(9)&amp;"&lt;resist&gt;"&amp;AP89&amp;"&lt;/resist&gt;"&amp;CHAR(13)&amp;CHAR(9)&amp;CHAR(9)&amp;"&lt;immune&gt;"&amp;AQ89&amp;"&lt;/immune&gt;"&amp;CHAR(13)&amp;CHAR(9)&amp;CHAR(9)&amp;"&lt;conditionImmune&gt;"&amp;AR89&amp;"&lt;/conditionImmune&gt;"&amp;CHAR(13)&amp;CHAR(9)&amp;CHAR(9)&amp;"&lt;senses&gt;"&amp;AM89&amp;"&lt;/senses&gt;"&amp;CHAR(13)&amp;CHAR(9)&amp;CHAR(9)&amp;"&lt;passive&gt;"&amp;AN89&amp;"&lt;/passive&gt;"&amp;CHAR(13)&amp;CHAR(9)&amp;CHAR(9)&amp;"&lt;languages&gt;"&amp;AS89&amp;"&lt;/languages&gt;"&amp;CHAR(13)&amp;CHAR(9)&amp;CHAR(9)&amp;"&lt;cr&gt;"&amp;O89&amp;"&lt;/cr&gt;"&amp;F89&amp;G89&amp;H89&amp;I89&amp;J89&amp;K89&amp;IF(C89="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89" s="3">
        <f>IF(COTM=TRUE,MAX(CL89,CM89,CN89),MAX(CK89,CM89,CN89))</f>
        <v>8</v>
      </c>
      <c r="C89" s="11" t="str">
        <f>IF(COTM=FALSE,"",IF(DruidLevel&gt;5,"Y",""))</f>
        <v/>
      </c>
      <c r="D89" s="3" t="s">
        <v>173</v>
      </c>
      <c r="E89" s="3" t="str">
        <f>T89&amp;" ft."&amp;IF(U89+V89+W89+X89=0,"",", ")&amp;IF(ISBLANK(U89),"","burrow "&amp;U89&amp;" ft."&amp;IF(V89+W89+X89=0,"",", "))&amp;IF(ISBLANK(V89),"","climb "&amp;V89&amp;" ft."&amp;IF(W89+X89=0,"",", "))&amp;IF(ISBLANK(W89),"","fly "&amp;W89&amp;" ft."&amp;IF(X89=0,"",", "))&amp;IF(ISBLANK(X89),"","swim "&amp;X89&amp;" ft.")</f>
        <v>40 ft.</v>
      </c>
      <c r="F89" s="3" t="str">
        <f>IF(ISBLANK(AT89),"",CHAR(13)&amp;CHAR(9)&amp;CHAR(9)&amp;"&lt;"&amp;AU89&amp;"&gt;"&amp;CHAR(13)&amp;CHAR(9)&amp;CHAR(9)&amp;CHAR(9)&amp;"&lt;name&gt;"&amp;AT89&amp;"&lt;/name&gt;"&amp;CHAR(13)&amp;CHAR(9)&amp;CHAR(9)&amp;CHAR(9)&amp;"&lt;text&gt;"&amp;AV89&amp;"&lt;/text&gt;"&amp;IF(ISBLANK(AX89),"",CHAR(13)&amp;CHAR(9)&amp;CHAR(9)&amp;CHAR(9)&amp;"&lt;attack&gt;"&amp;AX89&amp;"|"&amp;AY89&amp;"|"&amp;AZ89&amp;"&lt;/attack&gt;")&amp;CHAR(13)&amp;CHAR(9)&amp;CHAR(9)&amp;"&lt;/"&amp;AU89&amp;"&gt;")</f>
        <v>_x000D_		&lt;trait&gt;_x000D_			&lt;name&gt;Keen Smell&lt;/name&gt;_x000D_			&lt;text&gt;The tiger has advantage on Wisdom (Perception) checks that rely on smell.&lt;/text&gt;_x000D_		&lt;/trait&gt;</v>
      </c>
      <c r="G89" s="3" t="str">
        <f>IF(ISBLANK(BA89),"",CHAR(13)&amp;CHAR(9)&amp;CHAR(9)&amp;"&lt;"&amp;BB89&amp;"&gt;"&amp;CHAR(13)&amp;CHAR(9)&amp;CHAR(9)&amp;CHAR(9)&amp;"&lt;name&gt;"&amp;BA89&amp;"&lt;/name&gt;"&amp;CHAR(13)&amp;CHAR(9)&amp;CHAR(9)&amp;CHAR(9)&amp;"&lt;text&gt;"&amp;BC89&amp;"&lt;/text&gt;"&amp;IF(ISBLANK(BE89),"",CHAR(13)&amp;CHAR(9)&amp;CHAR(9)&amp;CHAR(9)&amp;"&lt;attack&gt;"&amp;BE89&amp;"|"&amp;BF89&amp;"|"&amp;BG89&amp;"&lt;/attack&gt;")&amp;CHAR(13)&amp;CHAR(9)&amp;CHAR(9)&amp;"&lt;/"&amp;BB89&amp;"&gt;")</f>
        <v>_x000D_		&lt;trait&gt;_x000D_			&lt;name&gt;Pounce&lt;/name&gt;_x000D_			&lt;text&gt;If the tiger moves at least 20 feet straight toward a creature and then hits it with a claw attack on the same turn, that target must succeed on a DC 13 Strength saving throw or be knocked prone. If the target is prone, the tiger can make one bite attack against it as a bonus action.&lt;/text&gt;_x000D_		&lt;/trait&gt;</v>
      </c>
      <c r="H89" s="3" t="str">
        <f>IF(ISBLANK(BH89),"",CHAR(13)&amp;CHAR(9)&amp;CHAR(9)&amp;"&lt;"&amp;BI89&amp;"&gt;"&amp;CHAR(13)&amp;CHAR(9)&amp;CHAR(9)&amp;CHAR(9)&amp;"&lt;name&gt;"&amp;BH89&amp;"&lt;/name&gt;"&amp;CHAR(13)&amp;CHAR(9)&amp;CHAR(9)&amp;CHAR(9)&amp;"&lt;text&gt;"&amp;BJ89&amp;"&lt;/text&gt;"&amp;IF(ISBLANK(BL89),"",CHAR(13)&amp;CHAR(9)&amp;CHAR(9)&amp;CHAR(9)&amp;"&lt;attack&gt;"&amp;BL89&amp;"|"&amp;BM89&amp;"|"&amp;BN89&amp;"&lt;/attack&gt;")&amp;CHAR(13)&amp;CHAR(9)&amp;CHAR(9)&amp;"&lt;/"&amp;BI89&amp;"&gt;")</f>
        <v>_x000D_		&lt;action&gt;_x000D_			&lt;name&gt;Bite&lt;/name&gt;_x000D_			&lt;text&gt;Melee Weapon Attack: +5 to hit, reach 5 ft., one target. Hit: 8 (1d10+3) piercing damage.&lt;/text&gt;_x000D_			&lt;attack&gt;Bite|5|1d10+3&lt;/attack&gt;_x000D_		&lt;/action&gt;</v>
      </c>
      <c r="I89" s="3" t="str">
        <f>IF(ISBLANK(BO89),"",CHAR(13)&amp;CHAR(9)&amp;CHAR(9)&amp;"&lt;"&amp;BP89&amp;"&gt;"&amp;CHAR(13)&amp;CHAR(9)&amp;CHAR(9)&amp;CHAR(9)&amp;"&lt;name&gt;"&amp;BO89&amp;"&lt;/name&gt;"&amp;CHAR(13)&amp;CHAR(9)&amp;CHAR(9)&amp;CHAR(9)&amp;"&lt;text&gt;"&amp;BQ89&amp;"&lt;/text&gt;"&amp;IF(ISBLANK(BS89),"",CHAR(13)&amp;CHAR(9)&amp;CHAR(9)&amp;CHAR(9)&amp;"&lt;attack&gt;"&amp;BS89&amp;"|"&amp;BT89&amp;"|"&amp;BU89&amp;"&lt;/attack&gt;")&amp;CHAR(13)&amp;CHAR(9)&amp;CHAR(9)&amp;"&lt;/"&amp;BP89&amp;"&gt;")</f>
        <v>_x000D_		&lt;action&gt;_x000D_			&lt;name&gt;Claw&lt;/name&gt;_x000D_			&lt;text&gt;Melee Weapon Attack: +5 to hit, reach 5 ft., one target. Hit: 7 (1d8+3) slashing damage.&lt;/text&gt;_x000D_		&lt;/action&gt;</v>
      </c>
      <c r="J89" s="3" t="str">
        <f>IF(ISBLANK(BV89),"",CHAR(13)&amp;CHAR(9)&amp;CHAR(9)&amp;"&lt;"&amp;BW89&amp;"&gt;"&amp;CHAR(13)&amp;CHAR(9)&amp;CHAR(9)&amp;CHAR(9)&amp;"&lt;name&gt;"&amp;BV89&amp;"&lt;/name&gt;"&amp;CHAR(13)&amp;CHAR(9)&amp;CHAR(9)&amp;CHAR(9)&amp;"&lt;text&gt;"&amp;BX89&amp;"&lt;/text&gt;"&amp;IF(ISBLANK(BZ89),"",CHAR(13)&amp;CHAR(9)&amp;CHAR(9)&amp;CHAR(9)&amp;"&lt;attack&gt;"&amp;BZ89&amp;"|"&amp;CA89&amp;"|"&amp;CB89&amp;"&lt;/attack&gt;")&amp;CHAR(13)&amp;CHAR(9)&amp;CHAR(9)&amp;"&lt;/"&amp;BW89&amp;"&gt;")</f>
        <v/>
      </c>
      <c r="K89" s="3" t="str">
        <f>IF(ISBLANK(CC89),"",CHAR(13)&amp;CHAR(9)&amp;CHAR(9)&amp;"&lt;"&amp;CD89&amp;"&gt;"&amp;CHAR(13)&amp;CHAR(9)&amp;CHAR(9)&amp;CHAR(9)&amp;"&lt;name&gt;"&amp;CC89&amp;"&lt;/name&gt;"&amp;CHAR(13)&amp;CHAR(9)&amp;CHAR(9)&amp;CHAR(9)&amp;"&lt;text&gt;"&amp;CE89&amp;"&lt;/text&gt;"&amp;IF(ISBLANK(CG89),"",CHAR(13)&amp;CHAR(9)&amp;CHAR(9)&amp;CHAR(9)&amp;"&lt;attack&gt;"&amp;CG89&amp;"|"&amp;CH89&amp;"|"&amp;CI89&amp;"&lt;/attack&gt;")&amp;CHAR(13)&amp;CHAR(9)&amp;CHAR(9)&amp;"&lt;/"&amp;CD89&amp;"&gt;")</f>
        <v/>
      </c>
      <c r="L89" s="1" t="s">
        <v>56</v>
      </c>
      <c r="M89" s="1" t="s">
        <v>275</v>
      </c>
      <c r="N89" s="1">
        <f>DruidAlignment</f>
        <v>0</v>
      </c>
      <c r="O89" s="2">
        <v>1</v>
      </c>
      <c r="P89" s="1" t="s">
        <v>2</v>
      </c>
      <c r="Q89" s="1">
        <v>12</v>
      </c>
      <c r="R89" s="1"/>
      <c r="S89" s="1">
        <v>37</v>
      </c>
      <c r="T89" s="1">
        <v>40</v>
      </c>
      <c r="Y89" s="1">
        <v>17</v>
      </c>
      <c r="Z89" s="1">
        <v>15</v>
      </c>
      <c r="AA89" s="1">
        <v>14</v>
      </c>
      <c r="AB89" s="10">
        <f>DruidInt</f>
        <v>0</v>
      </c>
      <c r="AC89" s="10">
        <f>DruidWis</f>
        <v>0</v>
      </c>
      <c r="AD89" s="10">
        <f>DruidCha</f>
        <v>0</v>
      </c>
      <c r="AE89" s="12"/>
      <c r="AF89" s="12"/>
      <c r="AG89" s="12">
        <v>6</v>
      </c>
      <c r="AH89" s="12" t="s">
        <v>173</v>
      </c>
      <c r="AI89" s="12" t="str">
        <f>IF(ISBLANK(DruidAcrobatics),"",", Acrobatics +"&amp;DruidAcrobatics)&amp;IF(ISBLANK(DruidAnimalHandling),"",", Animal Handling +"&amp;DruidAnimalHandling)&amp;IF(ISBLANK(DruidArcana),"",", Arcana +"&amp;DruidArcana)&amp;IF(DruidAthletics+AE89=0,"",", Athletics +"&amp;MAX(DruidAthletics,AE89))&amp;IF(ISBLANK(DruidDeception),"",",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+"&amp;DruidNature)&amp;IF(DruidPerception+AF89=0,"",", Perception +"&amp;MAX(DruidPerception,AF89))&amp;IF(ISBLANK(DruidPerformance),"",", Performance +"&amp;DruidPerformance)&amp;IF(ISBLANK(DruidPersuasion),"",", Persuasion +"&amp;DruidPersuasion)&amp;IF(ISBLANK(DruidReligion),"",", Religion +"&amp;DruidReligion)&amp;IF(ISBLANK(DruidSleightofHand),"",", Sleight of Hand +"&amp;DruidSleightofHand)&amp;IF(DruidStealth+AG89=0,"",", Stealth +"&amp;MAX(DruidStealth,AG89))&amp;IF(ISBLANK(DruidSurvival),"",", Survival +"&amp;DruidSurvival)</f>
        <v>, Stealth +6</v>
      </c>
      <c r="AJ89" s="1" t="str">
        <f>RIGHT(AI89,LEN(AI89)-2)</f>
        <v>Stealth +6</v>
      </c>
      <c r="AK89"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89" s="1" t="s">
        <v>173</v>
      </c>
      <c r="AM89" s="3" t="s">
        <v>176</v>
      </c>
      <c r="AN89" s="3">
        <f>IF(DruidPerception+AF89=0,10+(ROUNDDOWN((AC89-10)/2,0)),10+MAX(DruidPerception,AF89))</f>
        <v>5</v>
      </c>
      <c r="AO89" s="1"/>
      <c r="AP89" s="1"/>
      <c r="AQ89" s="1"/>
      <c r="AR89" s="1"/>
      <c r="AS89" s="1"/>
      <c r="AT89" s="3" t="s">
        <v>14</v>
      </c>
      <c r="AU89" s="3" t="s">
        <v>148</v>
      </c>
      <c r="AV89" s="3" t="s">
        <v>386</v>
      </c>
      <c r="AW89" s="3" t="s">
        <v>173</v>
      </c>
      <c r="AZ89" s="3"/>
      <c r="BA89" s="3" t="s">
        <v>77</v>
      </c>
      <c r="BB89" s="3" t="s">
        <v>148</v>
      </c>
      <c r="BC89" s="3" t="s">
        <v>395</v>
      </c>
      <c r="BD89" s="3" t="s">
        <v>173</v>
      </c>
      <c r="BG89" s="3"/>
      <c r="BH89" s="3" t="s">
        <v>161</v>
      </c>
      <c r="BI89" s="3" t="s">
        <v>150</v>
      </c>
      <c r="BJ89" s="3" t="s">
        <v>474</v>
      </c>
      <c r="BK89" s="3" t="s">
        <v>173</v>
      </c>
      <c r="BL89" s="3" t="s">
        <v>161</v>
      </c>
      <c r="BM89" s="3">
        <v>5</v>
      </c>
      <c r="BN89" s="3" t="s">
        <v>396</v>
      </c>
      <c r="BO89" s="3" t="s">
        <v>164</v>
      </c>
      <c r="BP89" s="3" t="s">
        <v>150</v>
      </c>
      <c r="BQ89" s="3" t="s">
        <v>475</v>
      </c>
      <c r="BR89" s="3" t="s">
        <v>173</v>
      </c>
      <c r="BY89" s="3" t="s">
        <v>173</v>
      </c>
      <c r="CJ89" s="6">
        <v>1</v>
      </c>
      <c r="CK89" s="6">
        <f>IF(CJ89&lt;0.26,2,IF(CJ89&lt;0.51,4,IF(CJ89&lt;1.1,8,99)))</f>
        <v>8</v>
      </c>
      <c r="CL89" s="3">
        <f>IF(M89="Elemental",10,IF(CJ89&lt;2,2,CJ89*3))</f>
        <v>2</v>
      </c>
      <c r="CM89" s="3">
        <f>IF(W89&gt;0,8,0)</f>
        <v>0</v>
      </c>
      <c r="CN89" s="3">
        <f>IF(X89&gt;0,4,0)</f>
        <v>0</v>
      </c>
    </row>
    <row r="90" spans="1:92">
      <c r="A90" s="3" t="str">
        <f>IF(DruidLevel&lt;B90,"",CHAR(9)&amp;"&lt;monster&gt;"&amp;CHAR(13)&amp;CHAR(9)&amp;CHAR(9)&amp;"&lt;name&gt;"&amp;L90&amp;" (Wild Shape)&lt;/name&gt;"&amp;CHAR(13)&amp;CHAR(9)&amp;CHAR(9)&amp;"&lt;size&gt;"&amp;LEFT(P90,1)&amp;"&lt;/size&gt;"&amp;CHAR(13)&amp;CHAR(9)&amp;CHAR(9)&amp;"&lt;type&gt;"&amp;M90&amp;"&lt;/type&gt;"&amp;CHAR(13)&amp;CHAR(9)&amp;CHAR(9)&amp;"&lt;alignment&gt;"&amp;N90&amp;"&lt;/alignment&gt;"&amp;CHAR(13)&amp;CHAR(9)&amp;CHAR(9)&amp;"&lt;ac&gt;"&amp;Q90&amp;IF(ISBLANK(R90),""," ("&amp;R90&amp;")")&amp;"&lt;/ac&gt;"&amp;CHAR(13)&amp;CHAR(9)&amp;CHAR(9)&amp;"&lt;hp&gt;"&amp;S90&amp;"&lt;/hp&gt;"&amp;CHAR(13)&amp;CHAR(9)&amp;CHAR(9)&amp;"&lt;speed&gt;"&amp;E90&amp;"&lt;/speed&gt;"&amp;CHAR(13)&amp;CHAR(9)&amp;CHAR(9)&amp;"&lt;str&gt;"&amp;Y90&amp;"&lt;/str&gt;&lt;dex&gt;"&amp;Z90&amp;"&lt;/dex&gt;&lt;con&gt;"&amp;AA90&amp;"&lt;/con&gt;&lt;int&gt;"&amp;AB90&amp;"&lt;/int&gt;&lt;wis&gt;"&amp;AC90&amp;"&lt;/wis&gt;&lt;cha&gt;"&amp;AD90&amp;"&lt;/cha&gt;"&amp;CHAR(13)&amp;CHAR(9)&amp;CHAR(9)&amp;"&lt;save&gt;"&amp;AK90&amp;"&lt;/save&gt;"&amp;CHAR(13)&amp;CHAR(9)&amp;CHAR(9)&amp;"&lt;skill&gt;"&amp;AJ90&amp;"&lt;/skill&gt;"&amp;CHAR(13)&amp;CHAR(9)&amp;CHAR(9)&amp;"&lt;vulnerable&gt;"&amp;AO90&amp;"&lt;/vulnerable&gt;"&amp;CHAR(13)&amp;CHAR(9)&amp;CHAR(9)&amp;"&lt;resist&gt;"&amp;AP90&amp;"&lt;/resist&gt;"&amp;CHAR(13)&amp;CHAR(9)&amp;CHAR(9)&amp;"&lt;immune&gt;"&amp;AQ90&amp;"&lt;/immune&gt;"&amp;CHAR(13)&amp;CHAR(9)&amp;CHAR(9)&amp;"&lt;conditionImmune&gt;"&amp;AR90&amp;"&lt;/conditionImmune&gt;"&amp;CHAR(13)&amp;CHAR(9)&amp;CHAR(9)&amp;"&lt;senses&gt;"&amp;AM90&amp;"&lt;/senses&gt;"&amp;CHAR(13)&amp;CHAR(9)&amp;CHAR(9)&amp;"&lt;passive&gt;"&amp;AN90&amp;"&lt;/passive&gt;"&amp;CHAR(13)&amp;CHAR(9)&amp;CHAR(9)&amp;"&lt;languages&gt;"&amp;AS90&amp;"&lt;/languages&gt;"&amp;CHAR(13)&amp;CHAR(9)&amp;CHAR(9)&amp;"&lt;cr&gt;"&amp;O90&amp;"&lt;/cr&gt;"&amp;F90&amp;G90&amp;H90&amp;I90&amp;J90&amp;K90&amp;IF(C90="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0" s="3">
        <f>IF(COTM=TRUE,MAX(CL90,CM90,CN90),MAX(CK90,CM90,CN90))</f>
        <v>99</v>
      </c>
      <c r="C90" s="11" t="str">
        <f>IF(COTM=FALSE,"",IF(DruidLevel&gt;5,"Y",""))</f>
        <v/>
      </c>
      <c r="D90" s="3" t="s">
        <v>173</v>
      </c>
      <c r="E90" s="3" t="str">
        <f>T90&amp;" ft."&amp;IF(U90+V90+W90+X90=0,"",", ")&amp;IF(ISBLANK(U90),"","burrow "&amp;U90&amp;" ft."&amp;IF(V90+W90+X90=0,"",", "))&amp;IF(ISBLANK(V90),"","climb "&amp;V90&amp;" ft."&amp;IF(W90+X90=0,"",", "))&amp;IF(ISBLANK(W90),"","fly "&amp;W90&amp;" ft."&amp;IF(X90=0,"",", "))&amp;IF(ISBLANK(X90),"","swim "&amp;X90&amp;" ft.")</f>
        <v>50 ft.</v>
      </c>
      <c r="F90" s="3" t="str">
        <f>IF(ISBLANK(AT90),"",CHAR(13)&amp;CHAR(9)&amp;CHAR(9)&amp;"&lt;"&amp;AU90&amp;"&gt;"&amp;CHAR(13)&amp;CHAR(9)&amp;CHAR(9)&amp;CHAR(9)&amp;"&lt;name&gt;"&amp;AT90&amp;"&lt;/name&gt;"&amp;CHAR(13)&amp;CHAR(9)&amp;CHAR(9)&amp;CHAR(9)&amp;"&lt;text&gt;"&amp;AV90&amp;"&lt;/text&gt;"&amp;IF(ISBLANK(AX90),"",CHAR(13)&amp;CHAR(9)&amp;CHAR(9)&amp;CHAR(9)&amp;"&lt;attack&gt;"&amp;AX90&amp;"|"&amp;AY90&amp;"|"&amp;AZ90&amp;"&lt;/attack&gt;")&amp;CHAR(13)&amp;CHAR(9)&amp;CHAR(9)&amp;"&lt;/"&amp;AU90&amp;"&gt;")</f>
        <v>_x000D_		&lt;trait&gt;_x000D_			&lt;name&gt;Trampling Charge&lt;/name&gt;_x000D_			&lt;text&gt;If the triceratops moves at least 20 feet straight toward a creature and then hits it with a gore attack on the same turn, that target must succeed on a DC 13 Strength saving throw or be knocked prone. If the target is prone, the triceratops can make one stomp attack against it as a bonus action.&lt;/text&gt;_x000D_		&lt;/trait&gt;</v>
      </c>
      <c r="G90" s="3" t="str">
        <f>IF(ISBLANK(BA90),"",CHAR(13)&amp;CHAR(9)&amp;CHAR(9)&amp;"&lt;"&amp;BB90&amp;"&gt;"&amp;CHAR(13)&amp;CHAR(9)&amp;CHAR(9)&amp;CHAR(9)&amp;"&lt;name&gt;"&amp;BA90&amp;"&lt;/name&gt;"&amp;CHAR(13)&amp;CHAR(9)&amp;CHAR(9)&amp;CHAR(9)&amp;"&lt;text&gt;"&amp;BC90&amp;"&lt;/text&gt;"&amp;IF(ISBLANK(BE90),"",CHAR(13)&amp;CHAR(9)&amp;CHAR(9)&amp;CHAR(9)&amp;"&lt;attack&gt;"&amp;BE90&amp;"|"&amp;BF90&amp;"|"&amp;BG90&amp;"&lt;/attack&gt;")&amp;CHAR(13)&amp;CHAR(9)&amp;CHAR(9)&amp;"&lt;/"&amp;BB90&amp;"&gt;")</f>
        <v>_x000D_		&lt;action&gt;_x000D_			&lt;name&gt;Gore&lt;/name&gt;_x000D_			&lt;text&gt;Melee Weapon Attack: +9 to hit, reach 5 ft., one target. Hit: 24 (4d8 + 6) piercing damage.&lt;/text&gt;_x000D_			&lt;attack&gt;Gore|9|4d8+6&lt;/attack&gt;_x000D_		&lt;/action&gt;</v>
      </c>
      <c r="H90" s="3" t="str">
        <f>IF(ISBLANK(BH90),"",CHAR(13)&amp;CHAR(9)&amp;CHAR(9)&amp;"&lt;"&amp;BI90&amp;"&gt;"&amp;CHAR(13)&amp;CHAR(9)&amp;CHAR(9)&amp;CHAR(9)&amp;"&lt;name&gt;"&amp;BH90&amp;"&lt;/name&gt;"&amp;CHAR(13)&amp;CHAR(9)&amp;CHAR(9)&amp;CHAR(9)&amp;"&lt;text&gt;"&amp;BJ90&amp;"&lt;/text&gt;"&amp;IF(ISBLANK(BL90),"",CHAR(13)&amp;CHAR(9)&amp;CHAR(9)&amp;CHAR(9)&amp;"&lt;attack&gt;"&amp;BL90&amp;"|"&amp;BM90&amp;"|"&amp;BN90&amp;"&lt;/attack&gt;")&amp;CHAR(13)&amp;CHAR(9)&amp;CHAR(9)&amp;"&lt;/"&amp;BI90&amp;"&gt;")</f>
        <v>_x000D_		&lt;action&gt;_x000D_			&lt;name&gt;Stomp&lt;/name&gt;_x000D_			&lt;text&gt;Melee Weapon Attack: +9 to hit, reach 5 ft., one prone creature. Hit: 22 (3d10 + 6) bludgeoning damage&lt;/text&gt;_x000D_			&lt;attack&gt;Stomp|9|3d10+6&lt;/attack&gt;_x000D_		&lt;/action&gt;</v>
      </c>
      <c r="I90" s="3" t="str">
        <f>IF(ISBLANK(BO90),"",CHAR(13)&amp;CHAR(9)&amp;CHAR(9)&amp;"&lt;"&amp;BP90&amp;"&gt;"&amp;CHAR(13)&amp;CHAR(9)&amp;CHAR(9)&amp;CHAR(9)&amp;"&lt;name&gt;"&amp;BO90&amp;"&lt;/name&gt;"&amp;CHAR(13)&amp;CHAR(9)&amp;CHAR(9)&amp;CHAR(9)&amp;"&lt;text&gt;"&amp;BQ90&amp;"&lt;/text&gt;"&amp;IF(ISBLANK(BS90),"",CHAR(13)&amp;CHAR(9)&amp;CHAR(9)&amp;CHAR(9)&amp;"&lt;attack&gt;"&amp;BS90&amp;"|"&amp;BT90&amp;"|"&amp;BU90&amp;"&lt;/attack&gt;")&amp;CHAR(13)&amp;CHAR(9)&amp;CHAR(9)&amp;"&lt;/"&amp;BP90&amp;"&gt;")</f>
        <v/>
      </c>
      <c r="J90" s="3" t="str">
        <f>IF(ISBLANK(BV90),"",CHAR(13)&amp;CHAR(9)&amp;CHAR(9)&amp;"&lt;"&amp;BW90&amp;"&gt;"&amp;CHAR(13)&amp;CHAR(9)&amp;CHAR(9)&amp;CHAR(9)&amp;"&lt;name&gt;"&amp;BV90&amp;"&lt;/name&gt;"&amp;CHAR(13)&amp;CHAR(9)&amp;CHAR(9)&amp;CHAR(9)&amp;"&lt;text&gt;"&amp;BX90&amp;"&lt;/text&gt;"&amp;IF(ISBLANK(BZ90),"",CHAR(13)&amp;CHAR(9)&amp;CHAR(9)&amp;CHAR(9)&amp;"&lt;attack&gt;"&amp;BZ90&amp;"|"&amp;CA90&amp;"|"&amp;CB90&amp;"&lt;/attack&gt;")&amp;CHAR(13)&amp;CHAR(9)&amp;CHAR(9)&amp;"&lt;/"&amp;BW90&amp;"&gt;")</f>
        <v/>
      </c>
      <c r="K90" s="3" t="str">
        <f>IF(ISBLANK(CC90),"",CHAR(13)&amp;CHAR(9)&amp;CHAR(9)&amp;"&lt;"&amp;CD90&amp;"&gt;"&amp;CHAR(13)&amp;CHAR(9)&amp;CHAR(9)&amp;CHAR(9)&amp;"&lt;name&gt;"&amp;CC90&amp;"&lt;/name&gt;"&amp;CHAR(13)&amp;CHAR(9)&amp;CHAR(9)&amp;CHAR(9)&amp;"&lt;text&gt;"&amp;CE90&amp;"&lt;/text&gt;"&amp;IF(ISBLANK(CG90),"",CHAR(13)&amp;CHAR(9)&amp;CHAR(9)&amp;CHAR(9)&amp;"&lt;attack&gt;"&amp;CG90&amp;"|"&amp;CH90&amp;"|"&amp;CI90&amp;"&lt;/attack&gt;")&amp;CHAR(13)&amp;CHAR(9)&amp;CHAR(9)&amp;"&lt;/"&amp;CD90&amp;"&gt;")</f>
        <v/>
      </c>
      <c r="L90" s="1" t="s">
        <v>106</v>
      </c>
      <c r="M90" s="1" t="s">
        <v>275</v>
      </c>
      <c r="N90" s="1">
        <f>DruidAlignment</f>
        <v>0</v>
      </c>
      <c r="O90" s="2">
        <v>5</v>
      </c>
      <c r="P90" s="1" t="s">
        <v>80</v>
      </c>
      <c r="Q90" s="1">
        <v>13</v>
      </c>
      <c r="R90" s="1" t="s">
        <v>405</v>
      </c>
      <c r="S90" s="1">
        <v>95</v>
      </c>
      <c r="T90" s="1">
        <v>50</v>
      </c>
      <c r="Y90" s="1">
        <v>22</v>
      </c>
      <c r="Z90" s="1">
        <v>9</v>
      </c>
      <c r="AA90" s="1">
        <v>17</v>
      </c>
      <c r="AB90" s="10">
        <f>DruidInt</f>
        <v>0</v>
      </c>
      <c r="AC90" s="10">
        <f>DruidWis</f>
        <v>0</v>
      </c>
      <c r="AD90" s="10">
        <f>DruidCha</f>
        <v>0</v>
      </c>
      <c r="AE90" s="12"/>
      <c r="AF90" s="12">
        <v>3</v>
      </c>
      <c r="AG90" s="12"/>
      <c r="AH90" s="12" t="s">
        <v>173</v>
      </c>
      <c r="AI90" s="12" t="str">
        <f>IF(ISBLANK(DruidAcrobatics),"",", Acrobatics +"&amp;DruidAcrobatics)&amp;IF(ISBLANK(DruidAnimalHandling),"",", Animal Handling +"&amp;DruidAnimalHandling)&amp;IF(ISBLANK(DruidArcana),"",", Arcana +"&amp;DruidArcana)&amp;IF(DruidAthletics+AE90=0,"",", Athletics +"&amp;MAX(DruidAthletics,AE90))&amp;IF(ISBLANK(DruidDeception),"",",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+"&amp;DruidNature)&amp;IF(DruidPerception+AF90=0,"",", Perception +"&amp;MAX(DruidPerception,AF90))&amp;IF(ISBLANK(DruidPerformance),"",", Performance +"&amp;DruidPerformance)&amp;IF(ISBLANK(DruidPersuasion),"",", Persuasion +"&amp;DruidPersuasion)&amp;IF(ISBLANK(DruidReligion),"",", Religion +"&amp;DruidReligion)&amp;IF(ISBLANK(DruidSleightofHand),"",", Sleight of Hand +"&amp;DruidSleightofHand)&amp;IF(DruidStealth+AG90=0,"",", Stealth +"&amp;MAX(DruidStealth,AG90))&amp;IF(ISBLANK(DruidSurvival),"",", Survival +"&amp;DruidSurvival)</f>
        <v>, Perception +3</v>
      </c>
      <c r="AJ90" s="1" t="str">
        <f>RIGHT(AI90,LEN(AI90)-2)</f>
        <v>Perception +3</v>
      </c>
      <c r="AK90"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0" s="1" t="s">
        <v>173</v>
      </c>
      <c r="AN90" s="3">
        <f>IF(DruidPerception+AF90=0,10+(ROUNDDOWN((AC90-10)/2,0)),10+MAX(DruidPerception,AF90))</f>
        <v>13</v>
      </c>
      <c r="AT90" s="3" t="s">
        <v>49</v>
      </c>
      <c r="AU90" s="3" t="s">
        <v>148</v>
      </c>
      <c r="AV90" s="3" t="s">
        <v>397</v>
      </c>
      <c r="AW90" s="3" t="s">
        <v>173</v>
      </c>
      <c r="BA90" s="3" t="s">
        <v>245</v>
      </c>
      <c r="BB90" s="3" t="s">
        <v>150</v>
      </c>
      <c r="BC90" s="3" t="s">
        <v>398</v>
      </c>
      <c r="BD90" s="3" t="s">
        <v>173</v>
      </c>
      <c r="BE90" s="3" t="s">
        <v>245</v>
      </c>
      <c r="BF90" s="3">
        <v>9</v>
      </c>
      <c r="BG90" s="8" t="s">
        <v>399</v>
      </c>
      <c r="BH90" s="3" t="s">
        <v>247</v>
      </c>
      <c r="BI90" s="3" t="s">
        <v>150</v>
      </c>
      <c r="BJ90" s="3" t="s">
        <v>400</v>
      </c>
      <c r="BK90" s="3" t="s">
        <v>173</v>
      </c>
      <c r="BL90" s="3" t="s">
        <v>247</v>
      </c>
      <c r="BM90" s="3">
        <v>9</v>
      </c>
      <c r="BN90" s="8" t="s">
        <v>281</v>
      </c>
      <c r="BR90" s="3" t="s">
        <v>173</v>
      </c>
      <c r="BY90" s="3" t="s">
        <v>173</v>
      </c>
      <c r="CJ90" s="6">
        <v>5</v>
      </c>
      <c r="CK90" s="6">
        <f>IF(CJ90&lt;0.26,2,IF(CJ90&lt;0.51,4,IF(CJ90&lt;1.1,8,99)))</f>
        <v>99</v>
      </c>
      <c r="CL90" s="3">
        <f>IF(M90="Elemental",10,IF(CJ90&lt;2,2,CJ90*3))</f>
        <v>15</v>
      </c>
      <c r="CM90" s="3">
        <f>IF(W90&gt;0,8,0)</f>
        <v>0</v>
      </c>
      <c r="CN90" s="3">
        <f>IF(X90&gt;0,4,0)</f>
        <v>0</v>
      </c>
    </row>
    <row r="91" spans="1:92">
      <c r="A91" s="3" t="str">
        <f>IF(DruidLevel&lt;B91,"",CHAR(9)&amp;"&lt;monster&gt;"&amp;CHAR(13)&amp;CHAR(9)&amp;CHAR(9)&amp;"&lt;name&gt;"&amp;L91&amp;" (Wild Shape)&lt;/name&gt;"&amp;CHAR(13)&amp;CHAR(9)&amp;CHAR(9)&amp;"&lt;size&gt;"&amp;LEFT(P91,1)&amp;"&lt;/size&gt;"&amp;CHAR(13)&amp;CHAR(9)&amp;CHAR(9)&amp;"&lt;type&gt;"&amp;M91&amp;"&lt;/type&gt;"&amp;CHAR(13)&amp;CHAR(9)&amp;CHAR(9)&amp;"&lt;alignment&gt;"&amp;N91&amp;"&lt;/alignment&gt;"&amp;CHAR(13)&amp;CHAR(9)&amp;CHAR(9)&amp;"&lt;ac&gt;"&amp;Q91&amp;IF(ISBLANK(R91),""," ("&amp;R91&amp;")")&amp;"&lt;/ac&gt;"&amp;CHAR(13)&amp;CHAR(9)&amp;CHAR(9)&amp;"&lt;hp&gt;"&amp;S91&amp;"&lt;/hp&gt;"&amp;CHAR(13)&amp;CHAR(9)&amp;CHAR(9)&amp;"&lt;speed&gt;"&amp;E91&amp;"&lt;/speed&gt;"&amp;CHAR(13)&amp;CHAR(9)&amp;CHAR(9)&amp;"&lt;str&gt;"&amp;Y91&amp;"&lt;/str&gt;&lt;dex&gt;"&amp;Z91&amp;"&lt;/dex&gt;&lt;con&gt;"&amp;AA91&amp;"&lt;/con&gt;&lt;int&gt;"&amp;AB91&amp;"&lt;/int&gt;&lt;wis&gt;"&amp;AC91&amp;"&lt;/wis&gt;&lt;cha&gt;"&amp;AD91&amp;"&lt;/cha&gt;"&amp;CHAR(13)&amp;CHAR(9)&amp;CHAR(9)&amp;"&lt;save&gt;"&amp;AK91&amp;"&lt;/save&gt;"&amp;CHAR(13)&amp;CHAR(9)&amp;CHAR(9)&amp;"&lt;skill&gt;"&amp;AJ91&amp;"&lt;/skill&gt;"&amp;CHAR(13)&amp;CHAR(9)&amp;CHAR(9)&amp;"&lt;vulnerable&gt;"&amp;AO91&amp;"&lt;/vulnerable&gt;"&amp;CHAR(13)&amp;CHAR(9)&amp;CHAR(9)&amp;"&lt;resist&gt;"&amp;AP91&amp;"&lt;/resist&gt;"&amp;CHAR(13)&amp;CHAR(9)&amp;CHAR(9)&amp;"&lt;immune&gt;"&amp;AQ91&amp;"&lt;/immune&gt;"&amp;CHAR(13)&amp;CHAR(9)&amp;CHAR(9)&amp;"&lt;conditionImmune&gt;"&amp;AR91&amp;"&lt;/conditionImmune&gt;"&amp;CHAR(13)&amp;CHAR(9)&amp;CHAR(9)&amp;"&lt;senses&gt;"&amp;AM91&amp;"&lt;/senses&gt;"&amp;CHAR(13)&amp;CHAR(9)&amp;CHAR(9)&amp;"&lt;passive&gt;"&amp;AN91&amp;"&lt;/passive&gt;"&amp;CHAR(13)&amp;CHAR(9)&amp;CHAR(9)&amp;"&lt;languages&gt;"&amp;AS91&amp;"&lt;/languages&gt;"&amp;CHAR(13)&amp;CHAR(9)&amp;CHAR(9)&amp;"&lt;cr&gt;"&amp;O91&amp;"&lt;/cr&gt;"&amp;F91&amp;G91&amp;H91&amp;I91&amp;J91&amp;K91&amp;IF(C91="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1" s="3">
        <f>IF(COTM=TRUE,MAX(CL91,CM91,CN91),MAX(CK91,CM91,CN91))</f>
        <v>8</v>
      </c>
      <c r="C91" s="11" t="str">
        <f>IF(COTM=FALSE,"",IF(DruidLevel&gt;5,"Y",""))</f>
        <v/>
      </c>
      <c r="D91" s="3" t="s">
        <v>173</v>
      </c>
      <c r="E91" s="3" t="str">
        <f>T91&amp;" ft."&amp;IF(U91+V91+W91+X91=0,"",", ")&amp;IF(ISBLANK(U91),"","burrow "&amp;U91&amp;" ft."&amp;IF(V91+W91+X91=0,"",", "))&amp;IF(ISBLANK(V91),"","climb "&amp;V91&amp;" ft."&amp;IF(W91+X91=0,"",", "))&amp;IF(ISBLANK(W91),"","fly "&amp;W91&amp;" ft."&amp;IF(X91=0,"",", "))&amp;IF(ISBLANK(X91),"","swim "&amp;X91&amp;" ft.")</f>
        <v>10 ft., fly 50 ft.</v>
      </c>
      <c r="F91" s="3" t="str">
        <f>IF(ISBLANK(AT91),"",CHAR(13)&amp;CHAR(9)&amp;CHAR(9)&amp;"&lt;"&amp;AU91&amp;"&gt;"&amp;CHAR(13)&amp;CHAR(9)&amp;CHAR(9)&amp;CHAR(9)&amp;"&lt;name&gt;"&amp;AT91&amp;"&lt;/name&gt;"&amp;CHAR(13)&amp;CHAR(9)&amp;CHAR(9)&amp;CHAR(9)&amp;"&lt;text&gt;"&amp;AV91&amp;"&lt;/text&gt;"&amp;IF(ISBLANK(AX91),"",CHAR(13)&amp;CHAR(9)&amp;CHAR(9)&amp;CHAR(9)&amp;"&lt;attack&gt;"&amp;AX91&amp;"|"&amp;AY91&amp;"|"&amp;AZ91&amp;"&lt;/attack&gt;")&amp;CHAR(13)&amp;CHAR(9)&amp;CHAR(9)&amp;"&lt;/"&amp;AU91&amp;"&gt;")</f>
        <v>_x000D_		&lt;trait&gt;_x000D_			&lt;name&gt;Keen Sight and Smell&lt;/name&gt;_x000D_			&lt;text&gt;The vulture has advantage on Wisdom (Perception) checks that rely on sight or smell.&lt;/text&gt;_x000D_		&lt;/trait&gt;</v>
      </c>
      <c r="G91" s="3" t="str">
        <f>IF(ISBLANK(BA91),"",CHAR(13)&amp;CHAR(9)&amp;CHAR(9)&amp;"&lt;"&amp;BB91&amp;"&gt;"&amp;CHAR(13)&amp;CHAR(9)&amp;CHAR(9)&amp;CHAR(9)&amp;"&lt;name&gt;"&amp;BA91&amp;"&lt;/name&gt;"&amp;CHAR(13)&amp;CHAR(9)&amp;CHAR(9)&amp;CHAR(9)&amp;"&lt;text&gt;"&amp;BC91&amp;"&lt;/text&gt;"&amp;IF(ISBLANK(BE91),"",CHAR(13)&amp;CHAR(9)&amp;CHAR(9)&amp;CHAR(9)&amp;"&lt;attack&gt;"&amp;BE91&amp;"|"&amp;BF91&amp;"|"&amp;BG91&amp;"&lt;/attack&gt;")&amp;CHAR(13)&amp;CHAR(9)&amp;CHAR(9)&amp;"&lt;/"&amp;BB91&amp;"&gt;")</f>
        <v>_x000D_		&lt;trait&gt;_x000D_			&lt;name&gt;Pack Tactics&lt;/name&gt;_x000D_			&lt;text&gt;The vulture has advantage on an attack roll against a creature if at least one of the vulture's allies is within 5 feet of the creature and the ally isn't incapacitated.&lt;/text&gt;_x000D_		&lt;/trait&gt;</v>
      </c>
      <c r="H91" s="3" t="str">
        <f>IF(ISBLANK(BH91),"",CHAR(13)&amp;CHAR(9)&amp;CHAR(9)&amp;"&lt;"&amp;BI91&amp;"&gt;"&amp;CHAR(13)&amp;CHAR(9)&amp;CHAR(9)&amp;CHAR(9)&amp;"&lt;name&gt;"&amp;BH91&amp;"&lt;/name&gt;"&amp;CHAR(13)&amp;CHAR(9)&amp;CHAR(9)&amp;CHAR(9)&amp;"&lt;text&gt;"&amp;BJ91&amp;"&lt;/text&gt;"&amp;IF(ISBLANK(BL91),"",CHAR(13)&amp;CHAR(9)&amp;CHAR(9)&amp;CHAR(9)&amp;"&lt;attack&gt;"&amp;BL91&amp;"|"&amp;BM91&amp;"|"&amp;BN91&amp;"&lt;/attack&gt;")&amp;CHAR(13)&amp;CHAR(9)&amp;CHAR(9)&amp;"&lt;/"&amp;BI91&amp;"&gt;")</f>
        <v>_x000D_		&lt;action&gt;_x000D_			&lt;name&gt;Beak&lt;/name&gt;_x000D_			&lt;text&gt;Melee Weapon Attack: +2 to hit, reach 5 ft., one target. Hit: 2 (1d4) piercing damage.&lt;/text&gt;_x000D_			&lt;attack&gt;Beak|2|1d4&lt;/attack&gt;_x000D_		&lt;/action&gt;</v>
      </c>
      <c r="I91" s="3" t="str">
        <f>IF(ISBLANK(BO91),"",CHAR(13)&amp;CHAR(9)&amp;CHAR(9)&amp;"&lt;"&amp;BP91&amp;"&gt;"&amp;CHAR(13)&amp;CHAR(9)&amp;CHAR(9)&amp;CHAR(9)&amp;"&lt;name&gt;"&amp;BO91&amp;"&lt;/name&gt;"&amp;CHAR(13)&amp;CHAR(9)&amp;CHAR(9)&amp;CHAR(9)&amp;"&lt;text&gt;"&amp;BQ91&amp;"&lt;/text&gt;"&amp;IF(ISBLANK(BS91),"",CHAR(13)&amp;CHAR(9)&amp;CHAR(9)&amp;CHAR(9)&amp;"&lt;attack&gt;"&amp;BS91&amp;"|"&amp;BT91&amp;"|"&amp;BU91&amp;"&lt;/attack&gt;")&amp;CHAR(13)&amp;CHAR(9)&amp;CHAR(9)&amp;"&lt;/"&amp;BP91&amp;"&gt;")</f>
        <v/>
      </c>
      <c r="J91" s="3" t="str">
        <f>IF(ISBLANK(BV91),"",CHAR(13)&amp;CHAR(9)&amp;CHAR(9)&amp;"&lt;"&amp;BW91&amp;"&gt;"&amp;CHAR(13)&amp;CHAR(9)&amp;CHAR(9)&amp;CHAR(9)&amp;"&lt;name&gt;"&amp;BV91&amp;"&lt;/name&gt;"&amp;CHAR(13)&amp;CHAR(9)&amp;CHAR(9)&amp;CHAR(9)&amp;"&lt;text&gt;"&amp;BX91&amp;"&lt;/text&gt;"&amp;IF(ISBLANK(BZ91),"",CHAR(13)&amp;CHAR(9)&amp;CHAR(9)&amp;CHAR(9)&amp;"&lt;attack&gt;"&amp;BZ91&amp;"|"&amp;CA91&amp;"|"&amp;CB91&amp;"&lt;/attack&gt;")&amp;CHAR(13)&amp;CHAR(9)&amp;CHAR(9)&amp;"&lt;/"&amp;BW91&amp;"&gt;")</f>
        <v/>
      </c>
      <c r="K91" s="3" t="str">
        <f>IF(ISBLANK(CC91),"",CHAR(13)&amp;CHAR(9)&amp;CHAR(9)&amp;"&lt;"&amp;CD91&amp;"&gt;"&amp;CHAR(13)&amp;CHAR(9)&amp;CHAR(9)&amp;CHAR(9)&amp;"&lt;name&gt;"&amp;CC91&amp;"&lt;/name&gt;"&amp;CHAR(13)&amp;CHAR(9)&amp;CHAR(9)&amp;CHAR(9)&amp;"&lt;text&gt;"&amp;CE91&amp;"&lt;/text&gt;"&amp;IF(ISBLANK(CG91),"",CHAR(13)&amp;CHAR(9)&amp;CHAR(9)&amp;CHAR(9)&amp;"&lt;attack&gt;"&amp;CG91&amp;"|"&amp;CH91&amp;"|"&amp;CI91&amp;"&lt;/attack&gt;")&amp;CHAR(13)&amp;CHAR(9)&amp;CHAR(9)&amp;"&lt;/"&amp;CD91&amp;"&gt;")</f>
        <v/>
      </c>
      <c r="L91" s="1" t="s">
        <v>92</v>
      </c>
      <c r="M91" s="1" t="s">
        <v>275</v>
      </c>
      <c r="N91" s="1">
        <f>DruidAlignment</f>
        <v>0</v>
      </c>
      <c r="O91" s="2">
        <v>0</v>
      </c>
      <c r="P91" s="1" t="s">
        <v>17</v>
      </c>
      <c r="Q91" s="1">
        <v>10</v>
      </c>
      <c r="R91" s="1"/>
      <c r="S91" s="1">
        <v>5</v>
      </c>
      <c r="T91" s="1">
        <v>10</v>
      </c>
      <c r="W91" s="1">
        <v>50</v>
      </c>
      <c r="Y91" s="1">
        <v>7</v>
      </c>
      <c r="Z91" s="1">
        <v>10</v>
      </c>
      <c r="AA91" s="1">
        <v>13</v>
      </c>
      <c r="AB91" s="10">
        <f>DruidInt</f>
        <v>0</v>
      </c>
      <c r="AC91" s="10">
        <f>DruidWis</f>
        <v>0</v>
      </c>
      <c r="AD91" s="10">
        <f>DruidCha</f>
        <v>0</v>
      </c>
      <c r="AE91" s="12"/>
      <c r="AF91" s="12"/>
      <c r="AG91" s="12"/>
      <c r="AH91" s="12" t="s">
        <v>173</v>
      </c>
      <c r="AI91" s="12" t="str">
        <f>IF(ISBLANK(DruidAcrobatics),"",", Acrobatics +"&amp;DruidAcrobatics)&amp;IF(ISBLANK(DruidAnimalHandling),"",", Animal Handling +"&amp;DruidAnimalHandling)&amp;IF(ISBLANK(DruidArcana),"",", Arcana +"&amp;DruidArcana)&amp;IF(DruidAthletics+AE91=0,"",", Athletics +"&amp;MAX(DruidAthletics,AE91))&amp;IF(ISBLANK(DruidDeception),"",",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+"&amp;DruidNature)&amp;IF(DruidPerception+AF91=0,"",", Perception +"&amp;MAX(DruidPerception,AF91))&amp;IF(ISBLANK(DruidPerformance),"",", Performance +"&amp;DruidPerformance)&amp;IF(ISBLANK(DruidPersuasion),"",", Persuasion +"&amp;DruidPersuasion)&amp;IF(ISBLANK(DruidReligion),"",", Religion +"&amp;DruidReligion)&amp;IF(ISBLANK(DruidSleightofHand),"",", Sleight of Hand +"&amp;DruidSleightofHand)&amp;IF(DruidStealth+AG91=0,"",", Stealth +"&amp;MAX(DruidStealth,AG91))&amp;IF(ISBLANK(DruidSurvival),"",", Survival +"&amp;DruidSurvival)</f>
        <v/>
      </c>
      <c r="AJ91" s="1" t="e">
        <f>RIGHT(AI91,LEN(AI91)-2)</f>
        <v>#VALUE!</v>
      </c>
      <c r="AK91"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1" s="1" t="s">
        <v>173</v>
      </c>
      <c r="AN91" s="3">
        <f>IF(DruidPerception+AF91=0,10+(ROUNDDOWN((AC91-10)/2,0)),10+MAX(DruidPerception,AF91))</f>
        <v>5</v>
      </c>
      <c r="AT91" s="3" t="s">
        <v>335</v>
      </c>
      <c r="AU91" s="3" t="s">
        <v>148</v>
      </c>
      <c r="AV91" s="3" t="s">
        <v>336</v>
      </c>
      <c r="AW91" s="3" t="s">
        <v>173</v>
      </c>
      <c r="BA91" s="3" t="s">
        <v>12</v>
      </c>
      <c r="BB91" s="3" t="s">
        <v>148</v>
      </c>
      <c r="BC91" s="3" t="s">
        <v>485</v>
      </c>
      <c r="BD91" s="3" t="s">
        <v>173</v>
      </c>
      <c r="BH91" s="3" t="s">
        <v>174</v>
      </c>
      <c r="BI91" s="3" t="s">
        <v>150</v>
      </c>
      <c r="BJ91" s="3" t="s">
        <v>238</v>
      </c>
      <c r="BK91" s="3" t="s">
        <v>173</v>
      </c>
      <c r="BL91" s="3" t="s">
        <v>174</v>
      </c>
      <c r="BM91" s="3">
        <v>2</v>
      </c>
      <c r="BN91" s="8" t="s">
        <v>230</v>
      </c>
      <c r="BR91" s="3" t="s">
        <v>173</v>
      </c>
      <c r="BY91" s="3" t="s">
        <v>173</v>
      </c>
      <c r="CJ91" s="6">
        <v>0</v>
      </c>
      <c r="CK91" s="6">
        <f>IF(CJ91&lt;0.26,2,IF(CJ91&lt;0.51,4,IF(CJ91&lt;1.1,8,99)))</f>
        <v>2</v>
      </c>
      <c r="CL91" s="3">
        <f>IF(M91="Elemental",10,IF(CJ91&lt;2,2,CJ91*3))</f>
        <v>2</v>
      </c>
      <c r="CM91" s="3">
        <f>IF(W91&gt;0,8,0)</f>
        <v>8</v>
      </c>
      <c r="CN91" s="3">
        <f>IF(X91&gt;0,4,0)</f>
        <v>0</v>
      </c>
    </row>
    <row r="92" spans="1:92">
      <c r="A92" s="3" t="str">
        <f>IF(DruidLevel&lt;B92,"",CHAR(9)&amp;"&lt;monster&gt;"&amp;CHAR(13)&amp;CHAR(9)&amp;CHAR(9)&amp;"&lt;name&gt;"&amp;L92&amp;" (Wild Shape)&lt;/name&gt;"&amp;CHAR(13)&amp;CHAR(9)&amp;CHAR(9)&amp;"&lt;size&gt;"&amp;LEFT(P92,1)&amp;"&lt;/size&gt;"&amp;CHAR(13)&amp;CHAR(9)&amp;CHAR(9)&amp;"&lt;type&gt;"&amp;M92&amp;"&lt;/type&gt;"&amp;CHAR(13)&amp;CHAR(9)&amp;CHAR(9)&amp;"&lt;alignment&gt;"&amp;N92&amp;"&lt;/alignment&gt;"&amp;CHAR(13)&amp;CHAR(9)&amp;CHAR(9)&amp;"&lt;ac&gt;"&amp;Q92&amp;IF(ISBLANK(R92),""," ("&amp;R92&amp;")")&amp;"&lt;/ac&gt;"&amp;CHAR(13)&amp;CHAR(9)&amp;CHAR(9)&amp;"&lt;hp&gt;"&amp;S92&amp;"&lt;/hp&gt;"&amp;CHAR(13)&amp;CHAR(9)&amp;CHAR(9)&amp;"&lt;speed&gt;"&amp;E92&amp;"&lt;/speed&gt;"&amp;CHAR(13)&amp;CHAR(9)&amp;CHAR(9)&amp;"&lt;str&gt;"&amp;Y92&amp;"&lt;/str&gt;&lt;dex&gt;"&amp;Z92&amp;"&lt;/dex&gt;&lt;con&gt;"&amp;AA92&amp;"&lt;/con&gt;&lt;int&gt;"&amp;AB92&amp;"&lt;/int&gt;&lt;wis&gt;"&amp;AC92&amp;"&lt;/wis&gt;&lt;cha&gt;"&amp;AD92&amp;"&lt;/cha&gt;"&amp;CHAR(13)&amp;CHAR(9)&amp;CHAR(9)&amp;"&lt;save&gt;"&amp;AK92&amp;"&lt;/save&gt;"&amp;CHAR(13)&amp;CHAR(9)&amp;CHAR(9)&amp;"&lt;skill&gt;"&amp;AJ92&amp;"&lt;/skill&gt;"&amp;CHAR(13)&amp;CHAR(9)&amp;CHAR(9)&amp;"&lt;vulnerable&gt;"&amp;AO92&amp;"&lt;/vulnerable&gt;"&amp;CHAR(13)&amp;CHAR(9)&amp;CHAR(9)&amp;"&lt;resist&gt;"&amp;AP92&amp;"&lt;/resist&gt;"&amp;CHAR(13)&amp;CHAR(9)&amp;CHAR(9)&amp;"&lt;immune&gt;"&amp;AQ92&amp;"&lt;/immune&gt;"&amp;CHAR(13)&amp;CHAR(9)&amp;CHAR(9)&amp;"&lt;conditionImmune&gt;"&amp;AR92&amp;"&lt;/conditionImmune&gt;"&amp;CHAR(13)&amp;CHAR(9)&amp;CHAR(9)&amp;"&lt;senses&gt;"&amp;AM92&amp;"&lt;/senses&gt;"&amp;CHAR(13)&amp;CHAR(9)&amp;CHAR(9)&amp;"&lt;passive&gt;"&amp;AN92&amp;"&lt;/passive&gt;"&amp;CHAR(13)&amp;CHAR(9)&amp;CHAR(9)&amp;"&lt;languages&gt;"&amp;AS92&amp;"&lt;/languages&gt;"&amp;CHAR(13)&amp;CHAR(9)&amp;CHAR(9)&amp;"&lt;cr&gt;"&amp;O92&amp;"&lt;/cr&gt;"&amp;F92&amp;G92&amp;H92&amp;I92&amp;J92&amp;K92&amp;IF(C92="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2" s="3">
        <f>IF(COTM=TRUE,MAX(CL92,CM92,CN92),MAX(CK92,CM92,CN92))</f>
        <v>4</v>
      </c>
      <c r="C92" s="11" t="str">
        <f>IF(COTM=FALSE,"",IF(DruidLevel&gt;5,"Y",""))</f>
        <v/>
      </c>
      <c r="D92" s="3" t="s">
        <v>173</v>
      </c>
      <c r="E92" s="3" t="str">
        <f>T92&amp;" ft."&amp;IF(U92+V92+W92+X92=0,"",", ")&amp;IF(ISBLANK(U92),"","burrow "&amp;U92&amp;" ft."&amp;IF(V92+W92+X92=0,"",", "))&amp;IF(ISBLANK(V92),"","climb "&amp;V92&amp;" ft."&amp;IF(W92+X92=0,"",", "))&amp;IF(ISBLANK(W92),"","fly "&amp;W92&amp;" ft."&amp;IF(X92=0,"",", "))&amp;IF(ISBLANK(X92),"","swim "&amp;X92&amp;" ft.")</f>
        <v>60 ft.</v>
      </c>
      <c r="F92" s="3" t="str">
        <f>IF(ISBLANK(AT92),"",CHAR(13)&amp;CHAR(9)&amp;CHAR(9)&amp;"&lt;"&amp;AU92&amp;"&gt;"&amp;CHAR(13)&amp;CHAR(9)&amp;CHAR(9)&amp;CHAR(9)&amp;"&lt;name&gt;"&amp;AT92&amp;"&lt;/name&gt;"&amp;CHAR(13)&amp;CHAR(9)&amp;CHAR(9)&amp;CHAR(9)&amp;"&lt;text&gt;"&amp;AV92&amp;"&lt;/text&gt;"&amp;IF(ISBLANK(AX92),"",CHAR(13)&amp;CHAR(9)&amp;CHAR(9)&amp;CHAR(9)&amp;"&lt;attack&gt;"&amp;AX92&amp;"|"&amp;AY92&amp;"|"&amp;AZ92&amp;"&lt;/attack&gt;")&amp;CHAR(13)&amp;CHAR(9)&amp;CHAR(9)&amp;"&lt;/"&amp;AU92&amp;"&gt;")</f>
        <v>_x000D_		&lt;trait&gt;_x000D_			&lt;name&gt;Trampling Charge&lt;/name&gt;_x000D_			&lt;text&gt;If the horse moves at least 20 feet straight toward a creature and then hits it with a hooves attack on the same turn, that target must succeed on a DC 14 Strength saving throw or be knocked prone. If the target is prone, the horse can make another attack with its hooves against it as a bonus action.&lt;/text&gt;_x000D_		&lt;/trait&gt;</v>
      </c>
      <c r="G92" s="3" t="str">
        <f>IF(ISBLANK(BA92),"",CHAR(13)&amp;CHAR(9)&amp;CHAR(9)&amp;"&lt;"&amp;BB92&amp;"&gt;"&amp;CHAR(13)&amp;CHAR(9)&amp;CHAR(9)&amp;CHAR(9)&amp;"&lt;name&gt;"&amp;BA92&amp;"&lt;/name&gt;"&amp;CHAR(13)&amp;CHAR(9)&amp;CHAR(9)&amp;CHAR(9)&amp;"&lt;text&gt;"&amp;BC92&amp;"&lt;/text&gt;"&amp;IF(ISBLANK(BE92),"",CHAR(13)&amp;CHAR(9)&amp;CHAR(9)&amp;CHAR(9)&amp;"&lt;attack&gt;"&amp;BE92&amp;"|"&amp;BF92&amp;"|"&amp;BG92&amp;"&lt;/attack&gt;")&amp;CHAR(13)&amp;CHAR(9)&amp;CHAR(9)&amp;"&lt;/"&amp;BB92&amp;"&gt;")</f>
        <v>_x000D_		&lt;action&gt;_x000D_			&lt;name&gt;Hooves&lt;/name&gt;_x000D_			&lt;text&gt;Melee Weapon Attack: +4 to hit, reach 5 ft., one target. Hit: 11 (2d6+4) bludgeoning damage.&lt;/text&gt;_x000D_		&lt;/action&gt;</v>
      </c>
      <c r="H92" s="3" t="str">
        <f>IF(ISBLANK(BH92),"",CHAR(13)&amp;CHAR(9)&amp;CHAR(9)&amp;"&lt;"&amp;BI92&amp;"&gt;"&amp;CHAR(13)&amp;CHAR(9)&amp;CHAR(9)&amp;CHAR(9)&amp;"&lt;name&gt;"&amp;BH92&amp;"&lt;/name&gt;"&amp;CHAR(13)&amp;CHAR(9)&amp;CHAR(9)&amp;CHAR(9)&amp;"&lt;text&gt;"&amp;BJ92&amp;"&lt;/text&gt;"&amp;IF(ISBLANK(BL92),"",CHAR(13)&amp;CHAR(9)&amp;CHAR(9)&amp;CHAR(9)&amp;"&lt;attack&gt;"&amp;BL92&amp;"|"&amp;BM92&amp;"|"&amp;BN92&amp;"&lt;/attack&gt;")&amp;CHAR(13)&amp;CHAR(9)&amp;CHAR(9)&amp;"&lt;/"&amp;BI92&amp;"&gt;")</f>
        <v/>
      </c>
      <c r="I92" s="3" t="str">
        <f>IF(ISBLANK(BO92),"",CHAR(13)&amp;CHAR(9)&amp;CHAR(9)&amp;"&lt;"&amp;BP92&amp;"&gt;"&amp;CHAR(13)&amp;CHAR(9)&amp;CHAR(9)&amp;CHAR(9)&amp;"&lt;name&gt;"&amp;BO92&amp;"&lt;/name&gt;"&amp;CHAR(13)&amp;CHAR(9)&amp;CHAR(9)&amp;CHAR(9)&amp;"&lt;text&gt;"&amp;BQ92&amp;"&lt;/text&gt;"&amp;IF(ISBLANK(BS92),"",CHAR(13)&amp;CHAR(9)&amp;CHAR(9)&amp;CHAR(9)&amp;"&lt;attack&gt;"&amp;BS92&amp;"|"&amp;BT92&amp;"|"&amp;BU92&amp;"&lt;/attack&gt;")&amp;CHAR(13)&amp;CHAR(9)&amp;CHAR(9)&amp;"&lt;/"&amp;BP92&amp;"&gt;")</f>
        <v/>
      </c>
      <c r="J92" s="3" t="str">
        <f>IF(ISBLANK(BV92),"",CHAR(13)&amp;CHAR(9)&amp;CHAR(9)&amp;"&lt;"&amp;BW92&amp;"&gt;"&amp;CHAR(13)&amp;CHAR(9)&amp;CHAR(9)&amp;CHAR(9)&amp;"&lt;name&gt;"&amp;BV92&amp;"&lt;/name&gt;"&amp;CHAR(13)&amp;CHAR(9)&amp;CHAR(9)&amp;CHAR(9)&amp;"&lt;text&gt;"&amp;BX92&amp;"&lt;/text&gt;"&amp;IF(ISBLANK(BZ92),"",CHAR(13)&amp;CHAR(9)&amp;CHAR(9)&amp;CHAR(9)&amp;"&lt;attack&gt;"&amp;BZ92&amp;"|"&amp;CA92&amp;"|"&amp;CB92&amp;"&lt;/attack&gt;")&amp;CHAR(13)&amp;CHAR(9)&amp;CHAR(9)&amp;"&lt;/"&amp;BW92&amp;"&gt;")</f>
        <v/>
      </c>
      <c r="K92" s="3" t="str">
        <f>IF(ISBLANK(CC92),"",CHAR(13)&amp;CHAR(9)&amp;CHAR(9)&amp;"&lt;"&amp;CD92&amp;"&gt;"&amp;CHAR(13)&amp;CHAR(9)&amp;CHAR(9)&amp;CHAR(9)&amp;"&lt;name&gt;"&amp;CC92&amp;"&lt;/name&gt;"&amp;CHAR(13)&amp;CHAR(9)&amp;CHAR(9)&amp;CHAR(9)&amp;"&lt;text&gt;"&amp;CE92&amp;"&lt;/text&gt;"&amp;IF(ISBLANK(CG92),"",CHAR(13)&amp;CHAR(9)&amp;CHAR(9)&amp;CHAR(9)&amp;"&lt;attack&gt;"&amp;CG92&amp;"|"&amp;CH92&amp;"|"&amp;CI92&amp;"&lt;/attack&gt;")&amp;CHAR(13)&amp;CHAR(9)&amp;CHAR(9)&amp;"&lt;/"&amp;CD92&amp;"&gt;")</f>
        <v/>
      </c>
      <c r="L92" s="1" t="s">
        <v>48</v>
      </c>
      <c r="M92" s="1" t="s">
        <v>275</v>
      </c>
      <c r="N92" s="1">
        <f>DruidAlignment</f>
        <v>0</v>
      </c>
      <c r="O92" s="2" t="s">
        <v>206</v>
      </c>
      <c r="P92" s="1" t="s">
        <v>2</v>
      </c>
      <c r="Q92" s="1">
        <v>11</v>
      </c>
      <c r="R92" s="1"/>
      <c r="S92" s="1">
        <v>19</v>
      </c>
      <c r="T92" s="1">
        <v>60</v>
      </c>
      <c r="Y92" s="1">
        <v>18</v>
      </c>
      <c r="Z92" s="1">
        <v>12</v>
      </c>
      <c r="AA92" s="1">
        <v>13</v>
      </c>
      <c r="AB92" s="10">
        <f>DruidInt</f>
        <v>0</v>
      </c>
      <c r="AC92" s="10">
        <f>DruidWis</f>
        <v>0</v>
      </c>
      <c r="AD92" s="10">
        <f>DruidCha</f>
        <v>0</v>
      </c>
      <c r="AE92" s="12"/>
      <c r="AF92" s="12">
        <v>3</v>
      </c>
      <c r="AG92" s="12"/>
      <c r="AH92" s="12" t="s">
        <v>173</v>
      </c>
      <c r="AI92" s="12" t="str">
        <f>IF(ISBLANK(DruidAcrobatics),"",", Acrobatics +"&amp;DruidAcrobatics)&amp;IF(ISBLANK(DruidAnimalHandling),"",", Animal Handling +"&amp;DruidAnimalHandling)&amp;IF(ISBLANK(DruidArcana),"",", Arcana +"&amp;DruidArcana)&amp;IF(DruidAthletics+AE92=0,"",", Athletics +"&amp;MAX(DruidAthletics,AE92))&amp;IF(ISBLANK(DruidDeception),"",",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+"&amp;DruidNature)&amp;IF(DruidPerception+AF92=0,"",", Perception +"&amp;MAX(DruidPerception,AF92))&amp;IF(ISBLANK(DruidPerformance),"",", Performance +"&amp;DruidPerformance)&amp;IF(ISBLANK(DruidPersuasion),"",", Persuasion +"&amp;DruidPersuasion)&amp;IF(ISBLANK(DruidReligion),"",", Religion +"&amp;DruidReligion)&amp;IF(ISBLANK(DruidSleightofHand),"",", Sleight of Hand +"&amp;DruidSleightofHand)&amp;IF(DruidStealth+AG92=0,"",", Stealth +"&amp;MAX(DruidStealth,AG92))&amp;IF(ISBLANK(DruidSurvival),"",", Survival +"&amp;DruidSurvival)</f>
        <v>, Perception +3</v>
      </c>
      <c r="AJ92" s="1" t="str">
        <f>RIGHT(AI92,LEN(AI92)-2)</f>
        <v>Perception +3</v>
      </c>
      <c r="AK92"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2" s="1" t="s">
        <v>173</v>
      </c>
      <c r="AN92" s="3">
        <f>IF(DruidPerception+AF92=0,10+(ROUNDDOWN((AC92-10)/2,0)),10+MAX(DruidPerception,AF92))</f>
        <v>13</v>
      </c>
      <c r="AT92" s="3" t="s">
        <v>49</v>
      </c>
      <c r="AU92" s="3" t="s">
        <v>148</v>
      </c>
      <c r="AV92" s="3" t="s">
        <v>401</v>
      </c>
      <c r="AW92" s="3" t="s">
        <v>173</v>
      </c>
      <c r="BA92" s="3" t="s">
        <v>240</v>
      </c>
      <c r="BB92" s="3" t="s">
        <v>150</v>
      </c>
      <c r="BC92" s="3" t="s">
        <v>476</v>
      </c>
      <c r="BD92" s="3" t="s">
        <v>173</v>
      </c>
      <c r="BK92" s="3" t="s">
        <v>173</v>
      </c>
      <c r="BR92" s="3" t="s">
        <v>173</v>
      </c>
      <c r="BY92" s="3" t="s">
        <v>173</v>
      </c>
      <c r="CJ92" s="6">
        <v>0.5</v>
      </c>
      <c r="CK92" s="6">
        <f>IF(CJ92&lt;0.26,2,IF(CJ92&lt;0.51,4,IF(CJ92&lt;1.1,8,99)))</f>
        <v>4</v>
      </c>
      <c r="CL92" s="3">
        <f>IF(M92="Elemental",10,IF(CJ92&lt;2,2,CJ92*3))</f>
        <v>2</v>
      </c>
      <c r="CM92" s="3">
        <f>IF(W92&gt;0,8,0)</f>
        <v>0</v>
      </c>
      <c r="CN92" s="3">
        <f>IF(X92&gt;0,4,0)</f>
        <v>0</v>
      </c>
    </row>
    <row r="93" spans="1:92">
      <c r="A93" s="3" t="str">
        <f>IF(DruidLevel&lt;B93,"",CHAR(9)&amp;"&lt;monster&gt;"&amp;CHAR(13)&amp;CHAR(9)&amp;CHAR(9)&amp;"&lt;name&gt;"&amp;L93&amp;" (Wild Shape)&lt;/name&gt;"&amp;CHAR(13)&amp;CHAR(9)&amp;CHAR(9)&amp;"&lt;size&gt;"&amp;LEFT(P93,1)&amp;"&lt;/size&gt;"&amp;CHAR(13)&amp;CHAR(9)&amp;CHAR(9)&amp;"&lt;type&gt;"&amp;M93&amp;"&lt;/type&gt;"&amp;CHAR(13)&amp;CHAR(9)&amp;CHAR(9)&amp;"&lt;alignment&gt;"&amp;N93&amp;"&lt;/alignment&gt;"&amp;CHAR(13)&amp;CHAR(9)&amp;CHAR(9)&amp;"&lt;ac&gt;"&amp;Q93&amp;IF(ISBLANK(R93),""," ("&amp;R93&amp;")")&amp;"&lt;/ac&gt;"&amp;CHAR(13)&amp;CHAR(9)&amp;CHAR(9)&amp;"&lt;hp&gt;"&amp;S93&amp;"&lt;/hp&gt;"&amp;CHAR(13)&amp;CHAR(9)&amp;CHAR(9)&amp;"&lt;speed&gt;"&amp;E93&amp;"&lt;/speed&gt;"&amp;CHAR(13)&amp;CHAR(9)&amp;CHAR(9)&amp;"&lt;str&gt;"&amp;Y93&amp;"&lt;/str&gt;&lt;dex&gt;"&amp;Z93&amp;"&lt;/dex&gt;&lt;con&gt;"&amp;AA93&amp;"&lt;/con&gt;&lt;int&gt;"&amp;AB93&amp;"&lt;/int&gt;&lt;wis&gt;"&amp;AC93&amp;"&lt;/wis&gt;&lt;cha&gt;"&amp;AD93&amp;"&lt;/cha&gt;"&amp;CHAR(13)&amp;CHAR(9)&amp;CHAR(9)&amp;"&lt;save&gt;"&amp;AK93&amp;"&lt;/save&gt;"&amp;CHAR(13)&amp;CHAR(9)&amp;CHAR(9)&amp;"&lt;skill&gt;"&amp;AJ93&amp;"&lt;/skill&gt;"&amp;CHAR(13)&amp;CHAR(9)&amp;CHAR(9)&amp;"&lt;vulnerable&gt;"&amp;AO93&amp;"&lt;/vulnerable&gt;"&amp;CHAR(13)&amp;CHAR(9)&amp;CHAR(9)&amp;"&lt;resist&gt;"&amp;AP93&amp;"&lt;/resist&gt;"&amp;CHAR(13)&amp;CHAR(9)&amp;CHAR(9)&amp;"&lt;immune&gt;"&amp;AQ93&amp;"&lt;/immune&gt;"&amp;CHAR(13)&amp;CHAR(9)&amp;CHAR(9)&amp;"&lt;conditionImmune&gt;"&amp;AR93&amp;"&lt;/conditionImmune&gt;"&amp;CHAR(13)&amp;CHAR(9)&amp;CHAR(9)&amp;"&lt;senses&gt;"&amp;AM93&amp;"&lt;/senses&gt;"&amp;CHAR(13)&amp;CHAR(9)&amp;CHAR(9)&amp;"&lt;passive&gt;"&amp;AN93&amp;"&lt;/passive&gt;"&amp;CHAR(13)&amp;CHAR(9)&amp;CHAR(9)&amp;"&lt;languages&gt;"&amp;AS93&amp;"&lt;/languages&gt;"&amp;CHAR(13)&amp;CHAR(9)&amp;CHAR(9)&amp;"&lt;cr&gt;"&amp;O93&amp;"&lt;/cr&gt;"&amp;F93&amp;G93&amp;H93&amp;I93&amp;J93&amp;K93&amp;IF(C93="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3" s="3">
        <f>IF(COTM=TRUE,MAX(CL93,CM93,CN93),MAX(CK93,CM93,CN93))</f>
        <v>99</v>
      </c>
      <c r="C93" s="11" t="str">
        <f>IF(COTM=FALSE,"",IF(DruidLevel&gt;5,"Y",""))</f>
        <v/>
      </c>
      <c r="D93" s="3" t="s">
        <v>173</v>
      </c>
      <c r="E93" s="3" t="str">
        <f>T93&amp;" ft."&amp;IF(U93+V93+W93+X93=0,"",", ")&amp;IF(ISBLANK(U93),"","burrow "&amp;U93&amp;" ft."&amp;IF(V93+W93+X93=0,"",", "))&amp;IF(ISBLANK(V93),"","climb "&amp;V93&amp;" ft."&amp;IF(W93+X93=0,"",", "))&amp;IF(ISBLANK(W93),"","fly "&amp;W93&amp;" ft."&amp;IF(X93=0,"",", "))&amp;IF(ISBLANK(X93),"","swim "&amp;X93&amp;" ft.")</f>
        <v>30 ft., swim 90 ft.</v>
      </c>
      <c r="F93" s="3" t="str">
        <f>IF(ISBLANK(AT93),"",CHAR(13)&amp;CHAR(9)&amp;CHAR(9)&amp;"&lt;"&amp;AU93&amp;"&gt;"&amp;CHAR(13)&amp;CHAR(9)&amp;CHAR(9)&amp;CHAR(9)&amp;"&lt;name&gt;"&amp;AT93&amp;"&lt;/name&gt;"&amp;CHAR(13)&amp;CHAR(9)&amp;CHAR(9)&amp;CHAR(9)&amp;"&lt;text&gt;"&amp;AV93&amp;"&lt;/text&gt;"&amp;IF(ISBLANK(AX93),"",CHAR(13)&amp;CHAR(9)&amp;CHAR(9)&amp;CHAR(9)&amp;"&lt;attack&gt;"&amp;AX93&amp;"|"&amp;AY93&amp;"|"&amp;AZ93&amp;"&lt;/attack&gt;")&amp;CHAR(13)&amp;CHAR(9)&amp;CHAR(9)&amp;"&lt;/"&amp;AU93&amp;"&gt;")</f>
        <v>_x000D_		&lt;trait&gt;_x000D_			&lt;name&gt;Water Form&lt;/name&gt;_x000D_			&lt;text&gt;The elemental can enter a hostile creature's space and stop there. It can move through a space as narrow as 1 inch wide without squeezing.&lt;/text&gt;_x000D_		&lt;/trait&gt;</v>
      </c>
      <c r="G93" s="3" t="str">
        <f>IF(ISBLANK(BA93),"",CHAR(13)&amp;CHAR(9)&amp;CHAR(9)&amp;"&lt;"&amp;BB93&amp;"&gt;"&amp;CHAR(13)&amp;CHAR(9)&amp;CHAR(9)&amp;CHAR(9)&amp;"&lt;name&gt;"&amp;BA93&amp;"&lt;/name&gt;"&amp;CHAR(13)&amp;CHAR(9)&amp;CHAR(9)&amp;CHAR(9)&amp;"&lt;text&gt;"&amp;BC93&amp;"&lt;/text&gt;"&amp;IF(ISBLANK(BE93),"",CHAR(13)&amp;CHAR(9)&amp;CHAR(9)&amp;CHAR(9)&amp;"&lt;attack&gt;"&amp;BE93&amp;"|"&amp;BF93&amp;"|"&amp;BG93&amp;"&lt;/attack&gt;")&amp;CHAR(13)&amp;CHAR(9)&amp;CHAR(9)&amp;"&lt;/"&amp;BB93&amp;"&gt;")</f>
        <v>_x000D_		&lt;trait&gt;_x000D_			&lt;name&gt;Freeze&lt;/name&gt;_x000D_			&lt;text&gt;If the elemental takes cold damage, it partially freezes; its speed is reduced by 20 feet until the end of its next turn.&lt;/text&gt;_x000D_		&lt;/trait&gt;</v>
      </c>
      <c r="H93" s="3" t="str">
        <f>IF(ISBLANK(BH93),"",CHAR(13)&amp;CHAR(9)&amp;CHAR(9)&amp;"&lt;"&amp;BI93&amp;"&gt;"&amp;CHAR(13)&amp;CHAR(9)&amp;CHAR(9)&amp;CHAR(9)&amp;"&lt;name&gt;"&amp;BH93&amp;"&lt;/name&gt;"&amp;CHAR(13)&amp;CHAR(9)&amp;CHAR(9)&amp;CHAR(9)&amp;"&lt;text&gt;"&amp;BJ93&amp;"&lt;/text&gt;"&amp;IF(ISBLANK(BL93),"",CHAR(13)&amp;CHAR(9)&amp;CHAR(9)&amp;CHAR(9)&amp;"&lt;attack&gt;"&amp;BL93&amp;"|"&amp;BM93&amp;"|"&amp;BN93&amp;"&lt;/attack&gt;")&amp;CHAR(13)&amp;CHAR(9)&amp;CHAR(9)&amp;"&lt;/"&amp;BI93&amp;"&gt;")</f>
        <v>_x000D_		&lt;action&gt;_x000D_			&lt;name&gt;Multiattack&lt;/name&gt;_x000D_			&lt;text&gt;The elemental makes two slam attacks.&lt;/text&gt;_x000D_		&lt;/action&gt;</v>
      </c>
      <c r="I93" s="3" t="str">
        <f>IF(ISBLANK(BO93),"",CHAR(13)&amp;CHAR(9)&amp;CHAR(9)&amp;"&lt;"&amp;BP93&amp;"&gt;"&amp;CHAR(13)&amp;CHAR(9)&amp;CHAR(9)&amp;CHAR(9)&amp;"&lt;name&gt;"&amp;BO93&amp;"&lt;/name&gt;"&amp;CHAR(13)&amp;CHAR(9)&amp;CHAR(9)&amp;CHAR(9)&amp;"&lt;text&gt;"&amp;BQ93&amp;"&lt;/text&gt;"&amp;IF(ISBLANK(BS93),"",CHAR(13)&amp;CHAR(9)&amp;CHAR(9)&amp;CHAR(9)&amp;"&lt;attack&gt;"&amp;BS93&amp;"|"&amp;BT93&amp;"|"&amp;BU93&amp;"&lt;/attack&gt;")&amp;CHAR(13)&amp;CHAR(9)&amp;CHAR(9)&amp;"&lt;/"&amp;BP93&amp;"&gt;")</f>
        <v>_x000D_		&lt;action&gt;_x000D_			&lt;name&gt;Slam&lt;/name&gt;_x000D_			&lt;text&gt;Melee Weapon Attack: +7 to hit, reach 5 ft., one target. Hit: 13 (2d8 + 4) bludgeoning damage.&lt;/text&gt;_x000D_			&lt;attack&gt;Slam|7|2d8+4&lt;/attack&gt;_x000D_		&lt;/action&gt;</v>
      </c>
      <c r="J93" s="3" t="str">
        <f>IF(ISBLANK(BV93),"",CHAR(13)&amp;CHAR(9)&amp;CHAR(9)&amp;"&lt;"&amp;BW93&amp;"&gt;"&amp;CHAR(13)&amp;CHAR(9)&amp;CHAR(9)&amp;CHAR(9)&amp;"&lt;name&gt;"&amp;BV93&amp;"&lt;/name&gt;"&amp;CHAR(13)&amp;CHAR(9)&amp;CHAR(9)&amp;CHAR(9)&amp;"&lt;text&gt;"&amp;BX93&amp;"&lt;/text&gt;"&amp;IF(ISBLANK(BZ93),"",CHAR(13)&amp;CHAR(9)&amp;CHAR(9)&amp;CHAR(9)&amp;"&lt;attack&gt;"&amp;BZ93&amp;"|"&amp;CA93&amp;"|"&amp;CB93&amp;"&lt;/attack&gt;")&amp;CHAR(13)&amp;CHAR(9)&amp;CHAR(9)&amp;"&lt;/"&amp;BW93&amp;"&gt;")</f>
        <v>_x000D_		&lt;action&gt;_x000D_			&lt;name&gt;Whelm (Recharge 4-6)&lt;/name&gt;_x000D_			&lt;text&gt;Each creature in the elemental's space must make a DC 15 Strength saving throw. On a failure, a target takes 13 (2d8 + 4) bludgeoning damage. If it is Large or smaller, it is also grappled (escape DC 14). Until this grapple ends, the target is restrained and unable to breathe unless it can breathe water. If the saving throw is successful, the target is pushed out of the elemental's space.&lt;/text&gt;&lt;text&gt;The elemental can grapple one Large creature or up to two Medium or smaller creatures at one time. At the start of each of the elemental's turns, each target grappled by it takes 13 (2d8 + 4) bludgeoning damage. A creature within 5 feet of the elemental can pull a creature or object out of it by taking an action to make a DC 14 Strength and succeeding.&lt;/text&gt;_x000D_		&lt;/action&gt;</v>
      </c>
      <c r="K93" s="3" t="str">
        <f>IF(ISBLANK(CC93),"",CHAR(13)&amp;CHAR(9)&amp;CHAR(9)&amp;"&lt;"&amp;CD93&amp;"&gt;"&amp;CHAR(13)&amp;CHAR(9)&amp;CHAR(9)&amp;CHAR(9)&amp;"&lt;name&gt;"&amp;CC93&amp;"&lt;/name&gt;"&amp;CHAR(13)&amp;CHAR(9)&amp;CHAR(9)&amp;CHAR(9)&amp;"&lt;text&gt;"&amp;CE93&amp;"&lt;/text&gt;"&amp;IF(ISBLANK(CG93),"",CHAR(13)&amp;CHAR(9)&amp;CHAR(9)&amp;CHAR(9)&amp;"&lt;attack&gt;"&amp;CG93&amp;"|"&amp;CH93&amp;"|"&amp;CI93&amp;"&lt;/attack&gt;")&amp;CHAR(13)&amp;CHAR(9)&amp;CHAR(9)&amp;"&lt;/"&amp;CD93&amp;"&gt;")</f>
        <v/>
      </c>
      <c r="L93" s="1" t="s">
        <v>6</v>
      </c>
      <c r="M93" s="1" t="s">
        <v>276</v>
      </c>
      <c r="N93" s="1">
        <f>DruidAlignment</f>
        <v>0</v>
      </c>
      <c r="O93" s="4">
        <v>5</v>
      </c>
      <c r="P93" s="1" t="s">
        <v>2</v>
      </c>
      <c r="Q93" s="3">
        <v>14</v>
      </c>
      <c r="R93" s="3" t="s">
        <v>405</v>
      </c>
      <c r="S93" s="3">
        <v>114</v>
      </c>
      <c r="T93" s="3">
        <v>30</v>
      </c>
      <c r="X93" s="3">
        <v>90</v>
      </c>
      <c r="Y93" s="3">
        <v>18</v>
      </c>
      <c r="Z93" s="3">
        <v>14</v>
      </c>
      <c r="AA93" s="3">
        <v>18</v>
      </c>
      <c r="AB93" s="10">
        <f>DruidInt</f>
        <v>0</v>
      </c>
      <c r="AC93" s="10">
        <f>DruidWis</f>
        <v>0</v>
      </c>
      <c r="AD93" s="10">
        <f>DruidCha</f>
        <v>0</v>
      </c>
      <c r="AE93" s="12"/>
      <c r="AF93" s="12">
        <v>3</v>
      </c>
      <c r="AG93" s="12"/>
      <c r="AH93" s="12" t="s">
        <v>173</v>
      </c>
      <c r="AI93" s="12" t="str">
        <f>IF(ISBLANK(DruidAcrobatics),"",", Acrobatics +"&amp;DruidAcrobatics)&amp;IF(ISBLANK(DruidAnimalHandling),"",", Animal Handling +"&amp;DruidAnimalHandling)&amp;IF(ISBLANK(DruidArcana),"",", Arcana +"&amp;DruidArcana)&amp;IF(DruidAthletics+AE93=0,"",", Athletics +"&amp;MAX(DruidAthletics,AE93))&amp;IF(ISBLANK(DruidDeception),"",",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+"&amp;DruidNature)&amp;IF(DruidPerception+AF93=0,"",", Perception +"&amp;MAX(DruidPerception,AF93))&amp;IF(ISBLANK(DruidPerformance),"",", Performance +"&amp;DruidPerformance)&amp;IF(ISBLANK(DruidPersuasion),"",", Persuasion +"&amp;DruidPersuasion)&amp;IF(ISBLANK(DruidReligion),"",", Religion +"&amp;DruidReligion)&amp;IF(ISBLANK(DruidSleightofHand),"",", Sleight of Hand +"&amp;DruidSleightofHand)&amp;IF(DruidStealth+AG93=0,"",", Stealth +"&amp;MAX(DruidStealth,AG93))&amp;IF(ISBLANK(DruidSurvival),"",", Survival +"&amp;DruidSurvival)</f>
        <v>, Perception +3</v>
      </c>
      <c r="AJ93" s="1" t="str">
        <f>RIGHT(AI93,LEN(AI93)-2)</f>
        <v>Perception +3</v>
      </c>
      <c r="AK93"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3" s="1" t="s">
        <v>173</v>
      </c>
      <c r="AM93" s="3" t="s">
        <v>176</v>
      </c>
      <c r="AN93" s="3">
        <f>IF(DruidPerception+AF93=0,10+(ROUNDDOWN((AC93-10)/2,0)),10+MAX(DruidPerception,AF93))</f>
        <v>13</v>
      </c>
      <c r="AP93" s="3" t="s">
        <v>146</v>
      </c>
      <c r="AQ93" s="3" t="s">
        <v>132</v>
      </c>
      <c r="AR93" s="3" t="s">
        <v>133</v>
      </c>
      <c r="AS93" s="3" t="s">
        <v>147</v>
      </c>
      <c r="AT93" s="3" t="s">
        <v>198</v>
      </c>
      <c r="AU93" s="3" t="s">
        <v>148</v>
      </c>
      <c r="AV93" s="3" t="s">
        <v>502</v>
      </c>
      <c r="AW93" s="3" t="s">
        <v>173</v>
      </c>
      <c r="BA93" s="3" t="s">
        <v>199</v>
      </c>
      <c r="BB93" s="3" t="s">
        <v>148</v>
      </c>
      <c r="BC93" s="3" t="s">
        <v>200</v>
      </c>
      <c r="BD93" s="3" t="s">
        <v>173</v>
      </c>
      <c r="BH93" s="3" t="s">
        <v>149</v>
      </c>
      <c r="BI93" s="3" t="s">
        <v>150</v>
      </c>
      <c r="BJ93" s="3" t="s">
        <v>151</v>
      </c>
      <c r="BK93" s="3" t="s">
        <v>173</v>
      </c>
      <c r="BO93" s="3" t="s">
        <v>152</v>
      </c>
      <c r="BP93" s="3" t="s">
        <v>150</v>
      </c>
      <c r="BQ93" s="3" t="s">
        <v>201</v>
      </c>
      <c r="BR93" s="3" t="s">
        <v>173</v>
      </c>
      <c r="BS93" s="3" t="s">
        <v>152</v>
      </c>
      <c r="BT93" s="3">
        <v>7</v>
      </c>
      <c r="BU93" s="3" t="s">
        <v>202</v>
      </c>
      <c r="BV93" s="3" t="s">
        <v>203</v>
      </c>
      <c r="BW93" s="3" t="s">
        <v>150</v>
      </c>
      <c r="BX93" s="3" t="s">
        <v>507</v>
      </c>
      <c r="BY93" s="3" t="s">
        <v>173</v>
      </c>
      <c r="CJ93" s="6">
        <v>5</v>
      </c>
      <c r="CK93" s="6">
        <f>IF(CJ93&lt;0.26,2,IF(CJ93&lt;0.51,4,IF(CJ93&lt;1.1,8,99)))</f>
        <v>99</v>
      </c>
      <c r="CL93" s="3">
        <f>IF(M93="Elemental",10,IF(CJ93&lt;2,2,CJ93*3))</f>
        <v>10</v>
      </c>
      <c r="CM93" s="3">
        <f>IF(W93&gt;0,8,0)</f>
        <v>0</v>
      </c>
      <c r="CN93" s="3">
        <f>IF(X93&gt;0,4,0)</f>
        <v>4</v>
      </c>
    </row>
    <row r="94" spans="1:92">
      <c r="A94" s="3" t="str">
        <f>IF(DruidLevel&lt;B94,"",CHAR(9)&amp;"&lt;monster&gt;"&amp;CHAR(13)&amp;CHAR(9)&amp;CHAR(9)&amp;"&lt;name&gt;"&amp;L94&amp;" (Wild Shape)&lt;/name&gt;"&amp;CHAR(13)&amp;CHAR(9)&amp;CHAR(9)&amp;"&lt;size&gt;"&amp;LEFT(P94,1)&amp;"&lt;/size&gt;"&amp;CHAR(13)&amp;CHAR(9)&amp;CHAR(9)&amp;"&lt;type&gt;"&amp;M94&amp;"&lt;/type&gt;"&amp;CHAR(13)&amp;CHAR(9)&amp;CHAR(9)&amp;"&lt;alignment&gt;"&amp;N94&amp;"&lt;/alignment&gt;"&amp;CHAR(13)&amp;CHAR(9)&amp;CHAR(9)&amp;"&lt;ac&gt;"&amp;Q94&amp;IF(ISBLANK(R94),""," ("&amp;R94&amp;")")&amp;"&lt;/ac&gt;"&amp;CHAR(13)&amp;CHAR(9)&amp;CHAR(9)&amp;"&lt;hp&gt;"&amp;S94&amp;"&lt;/hp&gt;"&amp;CHAR(13)&amp;CHAR(9)&amp;CHAR(9)&amp;"&lt;speed&gt;"&amp;E94&amp;"&lt;/speed&gt;"&amp;CHAR(13)&amp;CHAR(9)&amp;CHAR(9)&amp;"&lt;str&gt;"&amp;Y94&amp;"&lt;/str&gt;&lt;dex&gt;"&amp;Z94&amp;"&lt;/dex&gt;&lt;con&gt;"&amp;AA94&amp;"&lt;/con&gt;&lt;int&gt;"&amp;AB94&amp;"&lt;/int&gt;&lt;wis&gt;"&amp;AC94&amp;"&lt;/wis&gt;&lt;cha&gt;"&amp;AD94&amp;"&lt;/cha&gt;"&amp;CHAR(13)&amp;CHAR(9)&amp;CHAR(9)&amp;"&lt;save&gt;"&amp;AK94&amp;"&lt;/save&gt;"&amp;CHAR(13)&amp;CHAR(9)&amp;CHAR(9)&amp;"&lt;skill&gt;"&amp;AJ94&amp;"&lt;/skill&gt;"&amp;CHAR(13)&amp;CHAR(9)&amp;CHAR(9)&amp;"&lt;vulnerable&gt;"&amp;AO94&amp;"&lt;/vulnerable&gt;"&amp;CHAR(13)&amp;CHAR(9)&amp;CHAR(9)&amp;"&lt;resist&gt;"&amp;AP94&amp;"&lt;/resist&gt;"&amp;CHAR(13)&amp;CHAR(9)&amp;CHAR(9)&amp;"&lt;immune&gt;"&amp;AQ94&amp;"&lt;/immune&gt;"&amp;CHAR(13)&amp;CHAR(9)&amp;CHAR(9)&amp;"&lt;conditionImmune&gt;"&amp;AR94&amp;"&lt;/conditionImmune&gt;"&amp;CHAR(13)&amp;CHAR(9)&amp;CHAR(9)&amp;"&lt;senses&gt;"&amp;AM94&amp;"&lt;/senses&gt;"&amp;CHAR(13)&amp;CHAR(9)&amp;CHAR(9)&amp;"&lt;passive&gt;"&amp;AN94&amp;"&lt;/passive&gt;"&amp;CHAR(13)&amp;CHAR(9)&amp;CHAR(9)&amp;"&lt;languages&gt;"&amp;AS94&amp;"&lt;/languages&gt;"&amp;CHAR(13)&amp;CHAR(9)&amp;CHAR(9)&amp;"&lt;cr&gt;"&amp;O94&amp;"&lt;/cr&gt;"&amp;F94&amp;G94&amp;H94&amp;I94&amp;J94&amp;K94&amp;IF(C94="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4" s="3">
        <f>IF(COTM=TRUE,MAX(CL94,CM94,CN94),MAX(CK94,CM94,CN94))</f>
        <v>2</v>
      </c>
      <c r="C94" s="11" t="str">
        <f>IF(COTM=FALSE,"",IF(DruidLevel&gt;5,"Y",""))</f>
        <v/>
      </c>
      <c r="D94" s="3" t="s">
        <v>173</v>
      </c>
      <c r="E94" s="3" t="str">
        <f>T94&amp;" ft."&amp;IF(U94+V94+W94+X94=0,"",", ")&amp;IF(ISBLANK(U94),"","burrow "&amp;U94&amp;" ft."&amp;IF(V94+W94+X94=0,"",", "))&amp;IF(ISBLANK(V94),"","climb "&amp;V94&amp;" ft."&amp;IF(W94+X94=0,"",", "))&amp;IF(ISBLANK(W94),"","fly "&amp;W94&amp;" ft."&amp;IF(X94=0,"",", "))&amp;IF(ISBLANK(X94),"","swim "&amp;X94&amp;" ft.")</f>
        <v>30 ft.</v>
      </c>
      <c r="F94" s="3" t="str">
        <f>IF(ISBLANK(AT94),"",CHAR(13)&amp;CHAR(9)&amp;CHAR(9)&amp;"&lt;"&amp;AU94&amp;"&gt;"&amp;CHAR(13)&amp;CHAR(9)&amp;CHAR(9)&amp;CHAR(9)&amp;"&lt;name&gt;"&amp;AT94&amp;"&lt;/name&gt;"&amp;CHAR(13)&amp;CHAR(9)&amp;CHAR(9)&amp;CHAR(9)&amp;"&lt;text&gt;"&amp;AV94&amp;"&lt;/text&gt;"&amp;IF(ISBLANK(AX94),"",CHAR(13)&amp;CHAR(9)&amp;CHAR(9)&amp;CHAR(9)&amp;"&lt;attack&gt;"&amp;AX94&amp;"|"&amp;AY94&amp;"|"&amp;AZ94&amp;"&lt;/attack&gt;")&amp;CHAR(13)&amp;CHAR(9)&amp;CHAR(9)&amp;"&lt;/"&amp;AU94&amp;"&gt;")</f>
        <v>_x000D_		&lt;trait&gt;_x000D_			&lt;name&gt;Keen Hearing and Smell&lt;/name&gt;_x000D_			&lt;text&gt;The weasel has advantage on Wisdom (Perception) checks that rely on hearing or smell.&lt;/text&gt;_x000D_		&lt;/trait&gt;</v>
      </c>
      <c r="G94" s="3" t="str">
        <f>IF(ISBLANK(BA94),"",CHAR(13)&amp;CHAR(9)&amp;CHAR(9)&amp;"&lt;"&amp;BB94&amp;"&gt;"&amp;CHAR(13)&amp;CHAR(9)&amp;CHAR(9)&amp;CHAR(9)&amp;"&lt;name&gt;"&amp;BA94&amp;"&lt;/name&gt;"&amp;CHAR(13)&amp;CHAR(9)&amp;CHAR(9)&amp;CHAR(9)&amp;"&lt;text&gt;"&amp;BC94&amp;"&lt;/text&gt;"&amp;IF(ISBLANK(BE94),"",CHAR(13)&amp;CHAR(9)&amp;CHAR(9)&amp;CHAR(9)&amp;"&lt;attack&gt;"&amp;BE94&amp;"|"&amp;BF94&amp;"|"&amp;BG94&amp;"&lt;/attack&gt;")&amp;CHAR(13)&amp;CHAR(9)&amp;CHAR(9)&amp;"&lt;/"&amp;BB94&amp;"&gt;")</f>
        <v>_x000D_		&lt;action&gt;_x000D_			&lt;name&gt;Bite&lt;/name&gt;_x000D_			&lt;text&gt;The weasel has advantage on Wisdom (Perception) checks that rely on hearing or smell.&lt;/text&gt;_x000D_			&lt;attack&gt;Bite|5|1&lt;/attack&gt;_x000D_		&lt;/action&gt;</v>
      </c>
      <c r="H94" s="3" t="str">
        <f>IF(ISBLANK(BH94),"",CHAR(13)&amp;CHAR(9)&amp;CHAR(9)&amp;"&lt;"&amp;BI94&amp;"&gt;"&amp;CHAR(13)&amp;CHAR(9)&amp;CHAR(9)&amp;CHAR(9)&amp;"&lt;name&gt;"&amp;BH94&amp;"&lt;/name&gt;"&amp;CHAR(13)&amp;CHAR(9)&amp;CHAR(9)&amp;CHAR(9)&amp;"&lt;text&gt;"&amp;BJ94&amp;"&lt;/text&gt;"&amp;IF(ISBLANK(BL94),"",CHAR(13)&amp;CHAR(9)&amp;CHAR(9)&amp;CHAR(9)&amp;"&lt;attack&gt;"&amp;BL94&amp;"|"&amp;BM94&amp;"|"&amp;BN94&amp;"&lt;/attack&gt;")&amp;CHAR(13)&amp;CHAR(9)&amp;CHAR(9)&amp;"&lt;/"&amp;BI94&amp;"&gt;")</f>
        <v/>
      </c>
      <c r="I94" s="3" t="str">
        <f>IF(ISBLANK(BO94),"",CHAR(13)&amp;CHAR(9)&amp;CHAR(9)&amp;"&lt;"&amp;BP94&amp;"&gt;"&amp;CHAR(13)&amp;CHAR(9)&amp;CHAR(9)&amp;CHAR(9)&amp;"&lt;name&gt;"&amp;BO94&amp;"&lt;/name&gt;"&amp;CHAR(13)&amp;CHAR(9)&amp;CHAR(9)&amp;CHAR(9)&amp;"&lt;text&gt;"&amp;BQ94&amp;"&lt;/text&gt;"&amp;IF(ISBLANK(BS94),"",CHAR(13)&amp;CHAR(9)&amp;CHAR(9)&amp;CHAR(9)&amp;"&lt;attack&gt;"&amp;BS94&amp;"|"&amp;BT94&amp;"|"&amp;BU94&amp;"&lt;/attack&gt;")&amp;CHAR(13)&amp;CHAR(9)&amp;CHAR(9)&amp;"&lt;/"&amp;BP94&amp;"&gt;")</f>
        <v/>
      </c>
      <c r="J94" s="3" t="str">
        <f>IF(ISBLANK(BV94),"",CHAR(13)&amp;CHAR(9)&amp;CHAR(9)&amp;"&lt;"&amp;BW94&amp;"&gt;"&amp;CHAR(13)&amp;CHAR(9)&amp;CHAR(9)&amp;CHAR(9)&amp;"&lt;name&gt;"&amp;BV94&amp;"&lt;/name&gt;"&amp;CHAR(13)&amp;CHAR(9)&amp;CHAR(9)&amp;CHAR(9)&amp;"&lt;text&gt;"&amp;BX94&amp;"&lt;/text&gt;"&amp;IF(ISBLANK(BZ94),"",CHAR(13)&amp;CHAR(9)&amp;CHAR(9)&amp;CHAR(9)&amp;"&lt;attack&gt;"&amp;BZ94&amp;"|"&amp;CA94&amp;"|"&amp;CB94&amp;"&lt;/attack&gt;")&amp;CHAR(13)&amp;CHAR(9)&amp;CHAR(9)&amp;"&lt;/"&amp;BW94&amp;"&gt;")</f>
        <v/>
      </c>
      <c r="K94" s="3" t="str">
        <f>IF(ISBLANK(CC94),"",CHAR(13)&amp;CHAR(9)&amp;CHAR(9)&amp;"&lt;"&amp;CD94&amp;"&gt;"&amp;CHAR(13)&amp;CHAR(9)&amp;CHAR(9)&amp;CHAR(9)&amp;"&lt;name&gt;"&amp;CC94&amp;"&lt;/name&gt;"&amp;CHAR(13)&amp;CHAR(9)&amp;CHAR(9)&amp;CHAR(9)&amp;"&lt;text&gt;"&amp;CE94&amp;"&lt;/text&gt;"&amp;IF(ISBLANK(CG94),"",CHAR(13)&amp;CHAR(9)&amp;CHAR(9)&amp;CHAR(9)&amp;"&lt;attack&gt;"&amp;CG94&amp;"|"&amp;CH94&amp;"|"&amp;CI94&amp;"&lt;/attack&gt;")&amp;CHAR(13)&amp;CHAR(9)&amp;CHAR(9)&amp;"&lt;/"&amp;CD94&amp;"&gt;")</f>
        <v/>
      </c>
      <c r="L94" s="1" t="s">
        <v>27</v>
      </c>
      <c r="M94" s="1" t="s">
        <v>275</v>
      </c>
      <c r="N94" s="1">
        <f>DruidAlignment</f>
        <v>0</v>
      </c>
      <c r="O94" s="2">
        <v>0</v>
      </c>
      <c r="P94" s="1" t="s">
        <v>0</v>
      </c>
      <c r="Q94" s="1">
        <v>13</v>
      </c>
      <c r="R94" s="1"/>
      <c r="S94" s="1">
        <v>1</v>
      </c>
      <c r="T94" s="1">
        <v>30</v>
      </c>
      <c r="Y94" s="1">
        <v>3</v>
      </c>
      <c r="Z94" s="1">
        <v>16</v>
      </c>
      <c r="AA94" s="1">
        <v>8</v>
      </c>
      <c r="AB94" s="10">
        <f>DruidInt</f>
        <v>0</v>
      </c>
      <c r="AC94" s="10">
        <f>DruidWis</f>
        <v>0</v>
      </c>
      <c r="AD94" s="10">
        <f>DruidCha</f>
        <v>0</v>
      </c>
      <c r="AE94" s="12"/>
      <c r="AF94" s="12"/>
      <c r="AG94" s="12">
        <v>5</v>
      </c>
      <c r="AH94" s="12" t="s">
        <v>173</v>
      </c>
      <c r="AI94" s="12" t="str">
        <f>IF(ISBLANK(DruidAcrobatics),"",", Acrobatics +"&amp;DruidAcrobatics)&amp;IF(ISBLANK(DruidAnimalHandling),"",", Animal Handling +"&amp;DruidAnimalHandling)&amp;IF(ISBLANK(DruidArcana),"",", Arcana +"&amp;DruidArcana)&amp;IF(DruidAthletics+AE94=0,"",", Athletics +"&amp;MAX(DruidAthletics,AE94))&amp;IF(ISBLANK(DruidDeception),"",",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+"&amp;DruidNature)&amp;IF(DruidPerception+AF94=0,"",", Perception +"&amp;MAX(DruidPerception,AF94))&amp;IF(ISBLANK(DruidPerformance),"",", Performance +"&amp;DruidPerformance)&amp;IF(ISBLANK(DruidPersuasion),"",", Persuasion +"&amp;DruidPersuasion)&amp;IF(ISBLANK(DruidReligion),"",", Religion +"&amp;DruidReligion)&amp;IF(ISBLANK(DruidSleightofHand),"",", Sleight of Hand +"&amp;DruidSleightofHand)&amp;IF(DruidStealth+AG94=0,"",", Stealth +"&amp;MAX(DruidStealth,AG94))&amp;IF(ISBLANK(DruidSurvival),"",", Survival +"&amp;DruidSurvival)</f>
        <v>, Stealth +5</v>
      </c>
      <c r="AJ94" s="1" t="str">
        <f>RIGHT(AI94,LEN(AI94)-2)</f>
        <v>Stealth +5</v>
      </c>
      <c r="AK94"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4" s="1" t="s">
        <v>173</v>
      </c>
      <c r="AN94" s="3">
        <f>IF(DruidPerception+AF94=0,10+(ROUNDDOWN((AC94-10)/2,0)),10+MAX(DruidPerception,AF94))</f>
        <v>5</v>
      </c>
      <c r="AT94" s="3" t="s">
        <v>28</v>
      </c>
      <c r="AU94" s="3" t="s">
        <v>148</v>
      </c>
      <c r="AV94" s="3" t="s">
        <v>338</v>
      </c>
      <c r="AW94" s="3" t="s">
        <v>173</v>
      </c>
      <c r="AZ94" s="9"/>
      <c r="BA94" s="3" t="s">
        <v>161</v>
      </c>
      <c r="BB94" s="3" t="s">
        <v>150</v>
      </c>
      <c r="BC94" s="3" t="s">
        <v>338</v>
      </c>
      <c r="BD94" s="3" t="s">
        <v>173</v>
      </c>
      <c r="BE94" s="3" t="s">
        <v>161</v>
      </c>
      <c r="BF94" s="3">
        <v>5</v>
      </c>
      <c r="BG94" s="9">
        <v>1</v>
      </c>
      <c r="BK94" s="3" t="s">
        <v>173</v>
      </c>
      <c r="BN94" s="9"/>
      <c r="BR94" s="3" t="s">
        <v>173</v>
      </c>
      <c r="BY94" s="3" t="s">
        <v>173</v>
      </c>
      <c r="CJ94" s="6">
        <v>0</v>
      </c>
      <c r="CK94" s="6">
        <f>IF(CJ94&lt;0.26,2,IF(CJ94&lt;0.51,4,IF(CJ94&lt;1.1,8,99)))</f>
        <v>2</v>
      </c>
      <c r="CL94" s="3">
        <f>IF(M94="Elemental",10,IF(CJ94&lt;2,2,CJ94*3))</f>
        <v>2</v>
      </c>
      <c r="CM94" s="3">
        <f>IF(W94&gt;0,8,0)</f>
        <v>0</v>
      </c>
      <c r="CN94" s="3">
        <f>IF(X94&gt;0,4,0)</f>
        <v>0</v>
      </c>
    </row>
    <row r="95" spans="1:92">
      <c r="A95" s="3" t="str">
        <f>IF(DruidLevel&lt;B95,"",CHAR(9)&amp;"&lt;monster&gt;"&amp;CHAR(13)&amp;CHAR(9)&amp;CHAR(9)&amp;"&lt;name&gt;"&amp;L95&amp;" (Wild Shape)&lt;/name&gt;"&amp;CHAR(13)&amp;CHAR(9)&amp;CHAR(9)&amp;"&lt;size&gt;"&amp;LEFT(P95,1)&amp;"&lt;/size&gt;"&amp;CHAR(13)&amp;CHAR(9)&amp;CHAR(9)&amp;"&lt;type&gt;"&amp;M95&amp;"&lt;/type&gt;"&amp;CHAR(13)&amp;CHAR(9)&amp;CHAR(9)&amp;"&lt;alignment&gt;"&amp;N95&amp;"&lt;/alignment&gt;"&amp;CHAR(13)&amp;CHAR(9)&amp;CHAR(9)&amp;"&lt;ac&gt;"&amp;Q95&amp;IF(ISBLANK(R95),""," ("&amp;R95&amp;")")&amp;"&lt;/ac&gt;"&amp;CHAR(13)&amp;CHAR(9)&amp;CHAR(9)&amp;"&lt;hp&gt;"&amp;S95&amp;"&lt;/hp&gt;"&amp;CHAR(13)&amp;CHAR(9)&amp;CHAR(9)&amp;"&lt;speed&gt;"&amp;E95&amp;"&lt;/speed&gt;"&amp;CHAR(13)&amp;CHAR(9)&amp;CHAR(9)&amp;"&lt;str&gt;"&amp;Y95&amp;"&lt;/str&gt;&lt;dex&gt;"&amp;Z95&amp;"&lt;/dex&gt;&lt;con&gt;"&amp;AA95&amp;"&lt;/con&gt;&lt;int&gt;"&amp;AB95&amp;"&lt;/int&gt;&lt;wis&gt;"&amp;AC95&amp;"&lt;/wis&gt;&lt;cha&gt;"&amp;AD95&amp;"&lt;/cha&gt;"&amp;CHAR(13)&amp;CHAR(9)&amp;CHAR(9)&amp;"&lt;save&gt;"&amp;AK95&amp;"&lt;/save&gt;"&amp;CHAR(13)&amp;CHAR(9)&amp;CHAR(9)&amp;"&lt;skill&gt;"&amp;AJ95&amp;"&lt;/skill&gt;"&amp;CHAR(13)&amp;CHAR(9)&amp;CHAR(9)&amp;"&lt;vulnerable&gt;"&amp;AO95&amp;"&lt;/vulnerable&gt;"&amp;CHAR(13)&amp;CHAR(9)&amp;CHAR(9)&amp;"&lt;resist&gt;"&amp;AP95&amp;"&lt;/resist&gt;"&amp;CHAR(13)&amp;CHAR(9)&amp;CHAR(9)&amp;"&lt;immune&gt;"&amp;AQ95&amp;"&lt;/immune&gt;"&amp;CHAR(13)&amp;CHAR(9)&amp;CHAR(9)&amp;"&lt;conditionImmune&gt;"&amp;AR95&amp;"&lt;/conditionImmune&gt;"&amp;CHAR(13)&amp;CHAR(9)&amp;CHAR(9)&amp;"&lt;senses&gt;"&amp;AM95&amp;"&lt;/senses&gt;"&amp;CHAR(13)&amp;CHAR(9)&amp;CHAR(9)&amp;"&lt;passive&gt;"&amp;AN95&amp;"&lt;/passive&gt;"&amp;CHAR(13)&amp;CHAR(9)&amp;CHAR(9)&amp;"&lt;languages&gt;"&amp;AS95&amp;"&lt;/languages&gt;"&amp;CHAR(13)&amp;CHAR(9)&amp;CHAR(9)&amp;"&lt;cr&gt;"&amp;O95&amp;"&lt;/cr&gt;"&amp;F95&amp;G95&amp;H95&amp;I95&amp;J95&amp;K95&amp;IF(C95="Y",CHAR(13)&amp;CHAR(9)&amp;CHAR(9)&amp;"&lt;trait&gt;"&amp;CHAR(13)&amp;CHAR(9)&amp;CHAR(9)&amp;CHAR(9)&amp;"&lt;name&gt;Primal Strike&lt;/name&gt;"&amp;CHAR(13)&amp;CHAR(9)&amp;CHAR(9)&amp;CHAR(9)&amp;"&lt;text&gt;Your attacks count as magical for the purpose of overcoming resistance and immunity to nonmagical attacks and damage.&lt;/text&gt;"&amp;CHAR(13)&amp;CHAR(9)&amp;CHAR(9)&amp;"&lt;/trait&gt;","")&amp;CHAR(13)&amp;CHAR(9)&amp;"&lt;/monster&gt;")</f>
        <v/>
      </c>
      <c r="B95" s="3">
        <f>IF(COTM=TRUE,MAX(CL95,CM95,CN95),MAX(CK95,CM95,CN95))</f>
        <v>2</v>
      </c>
      <c r="C95" s="11" t="str">
        <f>IF(COTM=FALSE,"",IF(DruidLevel&gt;5,"Y",""))</f>
        <v/>
      </c>
      <c r="D95" s="3" t="s">
        <v>173</v>
      </c>
      <c r="E95" s="3" t="str">
        <f>T95&amp;" ft."&amp;IF(U95+V95+W95+X95=0,"",", ")&amp;IF(ISBLANK(U95),"","burrow "&amp;U95&amp;" ft."&amp;IF(V95+W95+X95=0,"",", "))&amp;IF(ISBLANK(V95),"","climb "&amp;V95&amp;" ft."&amp;IF(W95+X95=0,"",", "))&amp;IF(ISBLANK(W95),"","fly "&amp;W95&amp;" ft."&amp;IF(X95=0,"",", "))&amp;IF(ISBLANK(X95),"","swim "&amp;X95&amp;" ft.")</f>
        <v>40 ft.</v>
      </c>
      <c r="F95" s="3" t="str">
        <f>IF(ISBLANK(AT95),"",CHAR(13)&amp;CHAR(9)&amp;CHAR(9)&amp;"&lt;"&amp;AU95&amp;"&gt;"&amp;CHAR(13)&amp;CHAR(9)&amp;CHAR(9)&amp;CHAR(9)&amp;"&lt;name&gt;"&amp;AT95&amp;"&lt;/name&gt;"&amp;CHAR(13)&amp;CHAR(9)&amp;CHAR(9)&amp;CHAR(9)&amp;"&lt;text&gt;"&amp;AV95&amp;"&lt;/text&gt;"&amp;IF(ISBLANK(AX95),"",CHAR(13)&amp;CHAR(9)&amp;CHAR(9)&amp;CHAR(9)&amp;"&lt;attack&gt;"&amp;AX95&amp;"|"&amp;AY95&amp;"|"&amp;AZ95&amp;"&lt;/attack&gt;")&amp;CHAR(13)&amp;CHAR(9)&amp;CHAR(9)&amp;"&lt;/"&amp;AU95&amp;"&gt;")</f>
        <v>_x000D_		&lt;trait&gt;_x000D_			&lt;name&gt;Keen Hearing and Smell&lt;/name&gt;_x000D_			&lt;text&gt;The wolf has advantage on Wisdom (Perception) checks that rely on hearing or smell.&lt;/text&gt;_x000D_		&lt;/trait&gt;</v>
      </c>
      <c r="G95" s="3" t="str">
        <f>IF(ISBLANK(BA95),"",CHAR(13)&amp;CHAR(9)&amp;CHAR(9)&amp;"&lt;"&amp;BB95&amp;"&gt;"&amp;CHAR(13)&amp;CHAR(9)&amp;CHAR(9)&amp;CHAR(9)&amp;"&lt;name&gt;"&amp;BA95&amp;"&lt;/name&gt;"&amp;CHAR(13)&amp;CHAR(9)&amp;CHAR(9)&amp;CHAR(9)&amp;"&lt;text&gt;"&amp;BC95&amp;"&lt;/text&gt;"&amp;IF(ISBLANK(BE95),"",CHAR(13)&amp;CHAR(9)&amp;CHAR(9)&amp;CHAR(9)&amp;"&lt;attack&gt;"&amp;BE95&amp;"|"&amp;BF95&amp;"|"&amp;BG95&amp;"&lt;/attack&gt;")&amp;CHAR(13)&amp;CHAR(9)&amp;CHAR(9)&amp;"&lt;/"&amp;BB95&amp;"&gt;")</f>
        <v>_x000D_		&lt;trait&gt;_x000D_			&lt;name&gt;Pack Tactics&lt;/name&gt;_x000D_			&lt;text&gt;The wolf has advantage on an attack roll against a creature if at least one of the wolf's allies is within 5 feet of the creature and the ally isn't incapacitated.&lt;/text&gt;_x000D_		&lt;/trait&gt;</v>
      </c>
      <c r="H95" s="3" t="str">
        <f>IF(ISBLANK(BH95),"",CHAR(13)&amp;CHAR(9)&amp;CHAR(9)&amp;"&lt;"&amp;BI95&amp;"&gt;"&amp;CHAR(13)&amp;CHAR(9)&amp;CHAR(9)&amp;CHAR(9)&amp;"&lt;name&gt;"&amp;BH95&amp;"&lt;/name&gt;"&amp;CHAR(13)&amp;CHAR(9)&amp;CHAR(9)&amp;CHAR(9)&amp;"&lt;text&gt;"&amp;BJ95&amp;"&lt;/text&gt;"&amp;IF(ISBLANK(BL95),"",CHAR(13)&amp;CHAR(9)&amp;CHAR(9)&amp;CHAR(9)&amp;"&lt;attack&gt;"&amp;BL95&amp;"|"&amp;BM95&amp;"|"&amp;BN95&amp;"&lt;/attack&gt;")&amp;CHAR(13)&amp;CHAR(9)&amp;CHAR(9)&amp;"&lt;/"&amp;BI95&amp;"&gt;")</f>
        <v>_x000D_		&lt;action&gt;_x000D_			&lt;name&gt;Bite&lt;/name&gt;_x000D_			&lt;text&gt;Melee Weapon Attack: +4 to hit, reach 5 ft., one target. Hit: 7 (2d4+2) piercing damage. If the target is a creature, it must succeed on a DC 11 Strength saving throw or be knocked prone.&lt;/text&gt;_x000D_			&lt;attack&gt;Bite|4|2d4+2&lt;/attack&gt;_x000D_		&lt;/action&gt;</v>
      </c>
      <c r="I95" s="3" t="str">
        <f>IF(ISBLANK(BO95),"",CHAR(13)&amp;CHAR(9)&amp;CHAR(9)&amp;"&lt;"&amp;BP95&amp;"&gt;"&amp;CHAR(13)&amp;CHAR(9)&amp;CHAR(9)&amp;CHAR(9)&amp;"&lt;name&gt;"&amp;BO95&amp;"&lt;/name&gt;"&amp;CHAR(13)&amp;CHAR(9)&amp;CHAR(9)&amp;CHAR(9)&amp;"&lt;text&gt;"&amp;BQ95&amp;"&lt;/text&gt;"&amp;IF(ISBLANK(BS95),"",CHAR(13)&amp;CHAR(9)&amp;CHAR(9)&amp;CHAR(9)&amp;"&lt;attack&gt;"&amp;BS95&amp;"|"&amp;BT95&amp;"|"&amp;BU95&amp;"&lt;/attack&gt;")&amp;CHAR(13)&amp;CHAR(9)&amp;CHAR(9)&amp;"&lt;/"&amp;BP95&amp;"&gt;")</f>
        <v/>
      </c>
      <c r="J95" s="3" t="str">
        <f>IF(ISBLANK(BV95),"",CHAR(13)&amp;CHAR(9)&amp;CHAR(9)&amp;"&lt;"&amp;BW95&amp;"&gt;"&amp;CHAR(13)&amp;CHAR(9)&amp;CHAR(9)&amp;CHAR(9)&amp;"&lt;name&gt;"&amp;BV95&amp;"&lt;/name&gt;"&amp;CHAR(13)&amp;CHAR(9)&amp;CHAR(9)&amp;CHAR(9)&amp;"&lt;text&gt;"&amp;BX95&amp;"&lt;/text&gt;"&amp;IF(ISBLANK(BZ95),"",CHAR(13)&amp;CHAR(9)&amp;CHAR(9)&amp;CHAR(9)&amp;"&lt;attack&gt;"&amp;BZ95&amp;"|"&amp;CA95&amp;"|"&amp;CB95&amp;"&lt;/attack&gt;")&amp;CHAR(13)&amp;CHAR(9)&amp;CHAR(9)&amp;"&lt;/"&amp;BW95&amp;"&gt;")</f>
        <v/>
      </c>
      <c r="K95" s="3" t="str">
        <f>IF(ISBLANK(CC95),"",CHAR(13)&amp;CHAR(9)&amp;CHAR(9)&amp;"&lt;"&amp;CD95&amp;"&gt;"&amp;CHAR(13)&amp;CHAR(9)&amp;CHAR(9)&amp;CHAR(9)&amp;"&lt;name&gt;"&amp;CC95&amp;"&lt;/name&gt;"&amp;CHAR(13)&amp;CHAR(9)&amp;CHAR(9)&amp;CHAR(9)&amp;"&lt;text&gt;"&amp;CE95&amp;"&lt;/text&gt;"&amp;IF(ISBLANK(CG95),"",CHAR(13)&amp;CHAR(9)&amp;CHAR(9)&amp;CHAR(9)&amp;"&lt;attack&gt;"&amp;CG95&amp;"|"&amp;CH95&amp;"|"&amp;CI95&amp;"&lt;/attack&gt;")&amp;CHAR(13)&amp;CHAR(9)&amp;CHAR(9)&amp;"&lt;/"&amp;CD95&amp;"&gt;")</f>
        <v/>
      </c>
      <c r="L95" s="1" t="s">
        <v>57</v>
      </c>
      <c r="M95" s="1" t="s">
        <v>275</v>
      </c>
      <c r="N95" s="1">
        <f>DruidAlignment</f>
        <v>0</v>
      </c>
      <c r="O95" s="2" t="s">
        <v>208</v>
      </c>
      <c r="P95" s="1" t="s">
        <v>17</v>
      </c>
      <c r="Q95" s="1">
        <v>13</v>
      </c>
      <c r="R95" s="1" t="s">
        <v>405</v>
      </c>
      <c r="S95" s="1">
        <v>11</v>
      </c>
      <c r="T95" s="1">
        <v>40</v>
      </c>
      <c r="Y95" s="1">
        <v>12</v>
      </c>
      <c r="Z95" s="1">
        <v>15</v>
      </c>
      <c r="AA95" s="1">
        <v>12</v>
      </c>
      <c r="AB95" s="10">
        <f>DruidInt</f>
        <v>0</v>
      </c>
      <c r="AC95" s="10">
        <f>DruidWis</f>
        <v>0</v>
      </c>
      <c r="AD95" s="10">
        <f>DruidCha</f>
        <v>0</v>
      </c>
      <c r="AE95" s="12"/>
      <c r="AF95" s="12">
        <v>4</v>
      </c>
      <c r="AG95" s="12">
        <v>4</v>
      </c>
      <c r="AH95" s="12" t="s">
        <v>173</v>
      </c>
      <c r="AI95" s="12" t="str">
        <f>IF(ISBLANK(DruidAcrobatics),"",", Acrobatics +"&amp;DruidAcrobatics)&amp;IF(ISBLANK(DruidAnimalHandling),"",", Animal Handling +"&amp;DruidAnimalHandling)&amp;IF(ISBLANK(DruidArcana),"",", Arcana +"&amp;DruidArcana)&amp;IF(DruidAthletics+AE95=0,"",", Athletics +"&amp;MAX(DruidAthletics,AE95))&amp;IF(ISBLANK(DruidDeception),"",",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+"&amp;DruidNature)&amp;IF(DruidPerception+AF95=0,"",", Perception +"&amp;MAX(DruidPerception,AF95))&amp;IF(ISBLANK(DruidPerformance),"",", Performance +"&amp;DruidPerformance)&amp;IF(ISBLANK(DruidPersuasion),"",", Persuasion +"&amp;DruidPersuasion)&amp;IF(ISBLANK(DruidReligion),"",", Religion +"&amp;DruidReligion)&amp;IF(ISBLANK(DruidSleightofHand),"",", Sleight of Hand +"&amp;DruidSleightofHand)&amp;IF(DruidStealth+AG95=0,"",", Stealth +"&amp;MAX(DruidStealth,AG95))&amp;IF(ISBLANK(DruidSurvival),"",", Survival +"&amp;DruidSurvival)</f>
        <v>, Perception +4, Stealth +4</v>
      </c>
      <c r="AJ95" s="1" t="str">
        <f>RIGHT(AI95,LEN(AI95)-2)</f>
        <v>Perception +4, Stealth +4</v>
      </c>
      <c r="AK95" s="10" t="str">
        <f>IF(ISBLANK(DruidStrSave),"","Str +"&amp;DruidStrSave)&amp;IF(ISBLANK(DruidDexSave),"",IF(ISBLANK(DruidStrSave),"",", ")&amp;"Dex +"&amp;DruidDexSave)&amp;IF(ISBLANK(DruidConSave),"",IF(AND(ISBLANK(DruidStrSave),ISBLANK(DruidDexSave)),"",", ")&amp;"Con +"&amp;DruidConSave)&amp;IF(ISBLANK(DruidIntSave),"",IF(AND(ISBLANK(DruidStrSave),ISBLANK(DruidDexSave),ISBLANK(DruidConSave)),"",", ")&amp;"Int +"&amp;DruidIntSave)&amp;IF(ISBLANK(DruidWisSave),"",IF(AND(ISBLANK(DruidStrSave),ISBLANK(DruidDexSave),ISBLANK(DruidConSave),ISBLANK(DruidIntSave)),"",", ")&amp;"Wis +"&amp;DruidWisSave)&amp;IF(ISBLANK(DruidChaSave),"",IF(AND(ISBLANK(DruidStrSave),ISBLANK(DruidDexSave),ISBLANK(DruidConSave),ISBLANK(DruidIntSave),ISBLANK(DruidWisSave)),"",", ")&amp;"Cha +"&amp;DruidChaSave)</f>
        <v/>
      </c>
      <c r="AL95" s="1" t="s">
        <v>173</v>
      </c>
      <c r="AN95" s="3">
        <f>IF(DruidPerception+AF95=0,10+(ROUNDDOWN((AC95-10)/2,0)),10+MAX(DruidPerception,AF95))</f>
        <v>14</v>
      </c>
      <c r="AT95" s="3" t="s">
        <v>28</v>
      </c>
      <c r="AU95" s="3" t="s">
        <v>148</v>
      </c>
      <c r="AV95" s="3" t="s">
        <v>239</v>
      </c>
      <c r="AW95" s="3" t="s">
        <v>173</v>
      </c>
      <c r="BA95" s="3" t="s">
        <v>12</v>
      </c>
      <c r="BB95" s="3" t="s">
        <v>148</v>
      </c>
      <c r="BC95" s="3" t="s">
        <v>481</v>
      </c>
      <c r="BD95" s="3" t="s">
        <v>173</v>
      </c>
      <c r="BH95" s="3" t="s">
        <v>161</v>
      </c>
      <c r="BI95" s="3" t="s">
        <v>150</v>
      </c>
      <c r="BJ95" s="3" t="s">
        <v>477</v>
      </c>
      <c r="BK95" s="3" t="s">
        <v>173</v>
      </c>
      <c r="BL95" s="3" t="s">
        <v>161</v>
      </c>
      <c r="BM95" s="3">
        <v>4</v>
      </c>
      <c r="BN95" s="8" t="s">
        <v>221</v>
      </c>
      <c r="BR95" s="3" t="s">
        <v>173</v>
      </c>
      <c r="BY95" s="3" t="s">
        <v>173</v>
      </c>
      <c r="CJ95" s="6">
        <v>0.25</v>
      </c>
      <c r="CK95" s="6">
        <f>IF(CJ95&lt;0.26,2,IF(CJ95&lt;0.51,4,IF(CJ95&lt;1.1,8,99)))</f>
        <v>2</v>
      </c>
      <c r="CL95" s="3">
        <f>IF(M95="Elemental",10,IF(CJ95&lt;2,2,CJ95*3))</f>
        <v>2</v>
      </c>
      <c r="CM95" s="3">
        <f>IF(W95&gt;0,8,0)</f>
        <v>0</v>
      </c>
      <c r="CN95" s="3">
        <f>IF(X95&gt;0,4,0)</f>
        <v>0</v>
      </c>
    </row>
    <row r="96" spans="1:92">
      <c r="AH96" s="9" t="s">
        <v>173</v>
      </c>
      <c r="AI96" s="12" t="str">
        <f>IF(ISBLANK(DruidAcrobatics),"",", Acrobatics +"&amp;DruidAcrobatics)&amp;IF(ISBLANK(DruidAnimalHandling),"",", Animal Handling +"&amp;DruidAnimalHandling)&amp;IF(ISBLANK(DruidArcana),"",", Arcana +"&amp;DruidArcana)&amp;IF(DruidAthletics+AE96=0,"",", Athletics +"&amp;MAX(DruidAthletics,AE96))&amp;IF(ISBLANK(DruidDeception),"",",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+"&amp;DruidNature)&amp;IF(DruidPerception+AF96=0,"",", Perception +"&amp;MAX(DruidPerception,AF96))&amp;IF(ISBLANK(DruidPerformance),"",", Performance +"&amp;DruidPerformance)&amp;IF(ISBLANK(DruidPersuasion),"",", Persuasion +"&amp;DruidPersuasion)&amp;IF(ISBLANK(DruidReligion),"",", Religion +"&amp;DruidReligion)&amp;IF(ISBLANK(DruidSleightofHand),"",", Sleight of Hand +"&amp;DruidSleightofHand)&amp;IF(DruidStealth+AG96=0,"",", Stealth +"&amp;MAX(DruidStealth,AG96))&amp;IF(ISBLANK(DruidSurvival),"",", Survival +"&amp;DruidSurvival)</f>
        <v/>
      </c>
      <c r="AJ96" s="1" t="e">
        <f>RIGHT(AI96,LEN(AI96)-2)</f>
        <v>#VALUE!</v>
      </c>
    </row>
    <row r="97" spans="34:36">
      <c r="AH97" s="9" t="s">
        <v>173</v>
      </c>
      <c r="AI97" s="12" t="str">
        <f>IF(ISBLANK(DruidAcrobatics),"",", Acrobatics +"&amp;DruidAcrobatics)&amp;IF(ISBLANK(DruidAnimalHandling),"",", Animal Handling +"&amp;DruidAnimalHandling)&amp;IF(ISBLANK(DruidArcana),"",", Arcana +"&amp;DruidArcana)&amp;IF(DruidAthletics+AE97=0,"",", Athletics +"&amp;MAX(DruidAthletics,AE97))&amp;IF(ISBLANK(DruidDeception),"",",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+"&amp;DruidNature)&amp;IF(DruidPerception+AF97=0,"",", Perception +"&amp;MAX(DruidPerception,AF97))&amp;IF(ISBLANK(DruidPerformance),"",", Performance +"&amp;DruidPerformance)&amp;IF(ISBLANK(DruidPersuasion),"",", Persuasion +"&amp;DruidPersuasion)&amp;IF(ISBLANK(DruidReligion),"",", Religion +"&amp;DruidReligion)&amp;IF(ISBLANK(DruidSleightofHand),"",", Sleight of Hand +"&amp;DruidSleightofHand)&amp;IF(DruidStealth+AG97=0,"",", Stealth +"&amp;MAX(DruidStealth,AG97))&amp;IF(ISBLANK(DruidSurvival),"",", Survival +"&amp;DruidSurvival)</f>
        <v/>
      </c>
      <c r="AJ97" s="1" t="e">
        <f>RIGHT(AI97,LEN(AI97)-2)</f>
        <v>#VALUE!</v>
      </c>
    </row>
    <row r="98" spans="34:36">
      <c r="AH98" s="9" t="s">
        <v>173</v>
      </c>
      <c r="AI98" s="12" t="str">
        <f>IF(ISBLANK(DruidAcrobatics),"",", Acrobatics +"&amp;DruidAcrobatics)&amp;IF(ISBLANK(DruidAnimalHandling),"",", Animal Handling +"&amp;DruidAnimalHandling)&amp;IF(ISBLANK(DruidArcana),"",", Arcana +"&amp;DruidArcana)&amp;IF(DruidAthletics+AE98=0,"",", Athletics +"&amp;MAX(DruidAthletics,AE98))&amp;IF(ISBLANK(DruidDeception),"",",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+"&amp;DruidNature)&amp;IF(DruidPerception+AF98=0,"",", Perception +"&amp;MAX(DruidPerception,AF98))&amp;IF(ISBLANK(DruidPerformance),"",", Performance +"&amp;DruidPerformance)&amp;IF(ISBLANK(DruidPersuasion),"",", Persuasion +"&amp;DruidPersuasion)&amp;IF(ISBLANK(DruidReligion),"",", Religion +"&amp;DruidReligion)&amp;IF(ISBLANK(DruidSleightofHand),"",", Sleight of Hand +"&amp;DruidSleightofHand)&amp;IF(DruidStealth+AG98=0,"",", Stealth +"&amp;MAX(DruidStealth,AG98))&amp;IF(ISBLANK(DruidSurvival),"",", Survival +"&amp;DruidSurvival)</f>
        <v/>
      </c>
      <c r="AJ98" s="1" t="e">
        <f>RIGHT(AI98,LEN(AI98)-2)</f>
        <v>#VALUE!</v>
      </c>
    </row>
    <row r="99" spans="34:36">
      <c r="AH99" s="9" t="s">
        <v>173</v>
      </c>
      <c r="AI99" s="12" t="str">
        <f>IF(ISBLANK(DruidAcrobatics),"",", Acrobatics +"&amp;DruidAcrobatics)&amp;IF(ISBLANK(DruidAnimalHandling),"",", Animal Handling +"&amp;DruidAnimalHandling)&amp;IF(ISBLANK(DruidArcana),"",", Arcana +"&amp;DruidArcana)&amp;IF(DruidAthletics+AE99=0,"",", Athletics +"&amp;MAX(DruidAthletics,AE99))&amp;IF(ISBLANK(DruidDeception),"",", Deception +"&amp;DruidDeception)&amp;IF(ISBLANK(DruidHistory),"",", History +"&amp;DruidHistory)&amp;IF(ISBLANK(DruidInsight),"",", Insight +"&amp;DruidInsight)&amp;IF(ISBLANK(DruidIntimidation),"",", Intimidation +"&amp;DruidIntimidation)&amp;IF(ISBLANK(DruidInvestigation),"",", Investigation +"&amp;DruidInvestigation)&amp;IF(ISBLANK(DruidMedicine),"",", Medicine +"&amp;DruidMedicine)&amp;IF(ISBLANK(DruidNature),"",", Nature +"&amp;DruidNature)&amp;IF(DruidPerception+AF99=0,"",", Perception +"&amp;MAX(DruidPerception,AF99))&amp;IF(ISBLANK(DruidPerformance),"",", Performance +"&amp;DruidPerformance)&amp;IF(ISBLANK(DruidPersuasion),"",", Persuasion +"&amp;DruidPersuasion)&amp;IF(ISBLANK(DruidReligion),"",", Religion +"&amp;DruidReligion)&amp;IF(ISBLANK(DruidSleightofHand),"",", Sleight of Hand +"&amp;DruidSleightofHand)&amp;IF(DruidStealth+AG99=0,"",", Stealth +"&amp;MAX(DruidStealth,AG99))&amp;IF(ISBLANK(DruidSurvival),"",", Survival +"&amp;DruidSurvival)</f>
        <v/>
      </c>
      <c r="AJ99" s="1" t="e">
        <f>RIGHT(AI99,LEN(AI99)-2)</f>
        <v>#VALUE!</v>
      </c>
    </row>
    <row r="100" spans="34:36"/>
    <row r="101" spans="34:36"/>
  </sheetData>
  <sheetProtection password="EA11" sheet="1" objects="1" scenarios="1"/>
  <sortState ref="A4:DR101">
    <sortCondition ref="L3:L101"/>
  </sortState>
  <mergeCells count="42">
    <mergeCell ref="Q1:Q2"/>
    <mergeCell ref="S1:S2"/>
    <mergeCell ref="T1:X1"/>
    <mergeCell ref="E1:E2"/>
    <mergeCell ref="F1:F2"/>
    <mergeCell ref="N1:N2"/>
    <mergeCell ref="J1:J2"/>
    <mergeCell ref="K1:K2"/>
    <mergeCell ref="O1:O2"/>
    <mergeCell ref="P1:P2"/>
    <mergeCell ref="A1:A2"/>
    <mergeCell ref="B1:B2"/>
    <mergeCell ref="D1:D2"/>
    <mergeCell ref="L1:L2"/>
    <mergeCell ref="M1:M2"/>
    <mergeCell ref="C1:C2"/>
    <mergeCell ref="G1:G2"/>
    <mergeCell ref="H1:H2"/>
    <mergeCell ref="I1:I2"/>
    <mergeCell ref="Y1:AD1"/>
    <mergeCell ref="AE1:AG1"/>
    <mergeCell ref="AI1:AI2"/>
    <mergeCell ref="AK1:AK2"/>
    <mergeCell ref="AM1:AM2"/>
    <mergeCell ref="AH1:AH2"/>
    <mergeCell ref="AL1:AL2"/>
    <mergeCell ref="AS1:AS2"/>
    <mergeCell ref="AJ1:AJ2"/>
    <mergeCell ref="CO1:CO2"/>
    <mergeCell ref="AT1:AZ1"/>
    <mergeCell ref="BA1:BG1"/>
    <mergeCell ref="BH1:BN1"/>
    <mergeCell ref="BO1:BU1"/>
    <mergeCell ref="BV1:CB1"/>
    <mergeCell ref="CC1:CI1"/>
    <mergeCell ref="AO1:AO2"/>
    <mergeCell ref="AP1:AP2"/>
    <mergeCell ref="AQ1:AQ2"/>
    <mergeCell ref="AR1:AR2"/>
    <mergeCell ref="AN1:AN2"/>
    <mergeCell ref="CL1:CL2"/>
    <mergeCell ref="CK1:CK2"/>
  </mergeCells>
  <dataValidations count="1">
    <dataValidation type="list" allowBlank="1" showInputMessage="1" showErrorMessage="1" sqref="O1 O3:O1048576">
      <formula1>"00,0,8-Jan,4-Jan,2-Jan,1,2,3,4,5,6,7,8,9,10,11,12,13,14,15,16,17,18,19,20"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Druid</vt:lpstr>
      <vt:lpstr>Wild Shape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Rich</dc:creator>
  <cp:lastModifiedBy>David Rich</cp:lastModifiedBy>
  <dcterms:created xsi:type="dcterms:W3CDTF">2015-03-08T07:57:52Z</dcterms:created>
  <dcterms:modified xsi:type="dcterms:W3CDTF">2015-04-18T22:44:34Z</dcterms:modified>
</cp:coreProperties>
</file>